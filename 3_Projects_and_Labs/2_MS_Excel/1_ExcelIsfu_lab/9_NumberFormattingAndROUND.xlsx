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un\Synk\Project_LIFE\Rb_Excel_Lab\"/>
    </mc:Choice>
  </mc:AlternateContent>
  <xr:revisionPtr revIDLastSave="0" documentId="13_ncr:1_{B42FE2BA-B31C-4C86-A816-1F252D3BA51B}" xr6:coauthVersionLast="47" xr6:coauthVersionMax="47" xr10:uidLastSave="{00000000-0000-0000-0000-000000000000}"/>
  <bookViews>
    <workbookView xWindow="-108" yWindow="-108" windowWidth="23256" windowHeight="13176" activeTab="7" xr2:uid="{8E2BBFEC-174D-4591-B844-4E12DC6C1FC4}"/>
  </bookViews>
  <sheets>
    <sheet name="Cover" sheetId="20" r:id="rId1"/>
    <sheet name="NF(1)" sheetId="1" r:id="rId2"/>
    <sheet name="NF(1an)" sheetId="13" r:id="rId3"/>
    <sheet name="NF(2)" sheetId="2" r:id="rId4"/>
    <sheet name="NF(2an)" sheetId="14" r:id="rId5"/>
    <sheet name="NF(3)" sheetId="3" r:id="rId6"/>
    <sheet name="NF(3an)" sheetId="21" r:id="rId7"/>
    <sheet name="NF(4)" sheetId="4" r:id="rId8"/>
    <sheet name="NF(4an)" sheetId="22" r:id="rId9"/>
    <sheet name="NF(5)" sheetId="5" r:id="rId10"/>
    <sheet name="NF(5an)" sheetId="17" r:id="rId11"/>
    <sheet name="ROUND(1)" sheetId="6" r:id="rId12"/>
    <sheet name="ROUND(1an)" sheetId="23" r:id="rId13"/>
    <sheet name="ROUND(2)" sheetId="7" r:id="rId14"/>
    <sheet name="ROUND(2an)" sheetId="24" r:id="rId15"/>
    <sheet name="HW ==&gt;&gt;" sheetId="8" r:id="rId16"/>
    <sheet name="HW(1)" sheetId="9" r:id="rId17"/>
    <sheet name="HW(1an)" sheetId="11" r:id="rId18"/>
    <sheet name="HW(2)" sheetId="10" r:id="rId19"/>
    <sheet name="HW(2an)" sheetId="12" r:id="rId20"/>
  </sheets>
  <definedNames>
    <definedName name="_xlnm._FilterDatabase" localSheetId="11" hidden="1">'ROUND(1)'!$I$42:$L$381</definedName>
    <definedName name="_xlnm._FilterDatabase" localSheetId="12" hidden="1">'ROUND(1an)'!$I$42:$L$381</definedName>
    <definedName name="_xlnm._FilterDatabase" localSheetId="13" hidden="1">'ROUND(2)'!$H$27:$K$366</definedName>
    <definedName name="_xlnm._FilterDatabase" localSheetId="14" hidden="1">'ROUND(2an)'!$H$27:$K$366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7" l="1"/>
  <c r="B40" i="7"/>
  <c r="B41" i="7"/>
  <c r="B38" i="7"/>
  <c r="D29" i="7"/>
  <c r="D26" i="7"/>
  <c r="D27" i="7"/>
  <c r="D25" i="7"/>
  <c r="D17" i="7"/>
  <c r="D15" i="7"/>
  <c r="D16" i="7"/>
  <c r="D14" i="7"/>
  <c r="F17" i="7"/>
  <c r="C15" i="7"/>
  <c r="C16" i="7"/>
  <c r="C14" i="7"/>
  <c r="C17" i="7" s="1"/>
  <c r="G15" i="6"/>
  <c r="F15" i="6"/>
  <c r="E15" i="6"/>
  <c r="H5" i="5"/>
  <c r="B3" i="5"/>
  <c r="C2" i="2"/>
  <c r="B41" i="24"/>
  <c r="B40" i="24"/>
  <c r="B39" i="24"/>
  <c r="B38" i="24"/>
  <c r="H27" i="24"/>
  <c r="D27" i="24"/>
  <c r="H26" i="24"/>
  <c r="D26" i="24"/>
  <c r="H25" i="24"/>
  <c r="H28" i="24" s="1"/>
  <c r="D25" i="24"/>
  <c r="F17" i="24"/>
  <c r="D16" i="24"/>
  <c r="C16" i="24"/>
  <c r="D15" i="24"/>
  <c r="C15" i="24"/>
  <c r="D14" i="24"/>
  <c r="D17" i="24" s="1"/>
  <c r="C14" i="24"/>
  <c r="C17" i="24" s="1"/>
  <c r="G15" i="23"/>
  <c r="F15" i="23"/>
  <c r="E15" i="23"/>
  <c r="D6" i="17"/>
  <c r="H5" i="17"/>
  <c r="D5" i="17"/>
  <c r="B3" i="17"/>
  <c r="D2" i="17"/>
  <c r="D1" i="17"/>
  <c r="D10" i="22"/>
  <c r="F10" i="22" s="1"/>
  <c r="D9" i="22"/>
  <c r="F9" i="22" s="1"/>
  <c r="D8" i="22"/>
  <c r="F8" i="22" s="1"/>
  <c r="D7" i="22"/>
  <c r="F7" i="22" s="1"/>
  <c r="D6" i="22"/>
  <c r="F6" i="22" s="1"/>
  <c r="D5" i="22"/>
  <c r="F5" i="22" s="1"/>
  <c r="D4" i="22"/>
  <c r="F4" i="22" s="1"/>
  <c r="F16" i="23"/>
  <c r="E16" i="23"/>
  <c r="G16" i="23"/>
  <c r="D28" i="24" l="1"/>
  <c r="D29" i="24" s="1"/>
  <c r="D30" i="24" s="1"/>
  <c r="D28" i="7"/>
  <c r="D30" i="7" l="1"/>
  <c r="C2" i="14"/>
  <c r="G16" i="6"/>
  <c r="F16" i="6"/>
  <c r="E16" i="6"/>
  <c r="E2" i="2"/>
  <c r="E2" i="14"/>
  <c r="C16" i="12" l="1"/>
  <c r="C15" i="12"/>
  <c r="C14" i="12"/>
  <c r="C13" i="12"/>
  <c r="C12" i="12"/>
  <c r="C11" i="12"/>
  <c r="C10" i="12"/>
  <c r="C9" i="12"/>
  <c r="C8" i="12"/>
  <c r="C7" i="12"/>
  <c r="C6" i="12"/>
  <c r="C5" i="12"/>
  <c r="C4" i="12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 l="1"/>
  <c r="G17" i="11"/>
  <c r="H27" i="7"/>
  <c r="H26" i="7"/>
  <c r="H25" i="7"/>
  <c r="H28" i="7" l="1"/>
  <c r="D6" i="5" l="1"/>
  <c r="D5" i="5"/>
  <c r="D1" i="5"/>
  <c r="D2" i="5"/>
  <c r="D4" i="4"/>
  <c r="F4" i="4" s="1"/>
  <c r="D5" i="4"/>
  <c r="F5" i="4" s="1"/>
  <c r="D6" i="4"/>
  <c r="F6" i="4" s="1"/>
  <c r="D7" i="4"/>
  <c r="F7" i="4" s="1"/>
  <c r="D8" i="4"/>
  <c r="F8" i="4" s="1"/>
  <c r="D9" i="4"/>
  <c r="F9" i="4" s="1"/>
  <c r="D10" i="4"/>
  <c r="F10" i="4" s="1"/>
</calcChain>
</file>

<file path=xl/sharedStrings.xml><?xml version="1.0" encoding="utf-8"?>
<sst xmlns="http://schemas.openxmlformats.org/spreadsheetml/2006/main" count="347" uniqueCount="126">
  <si>
    <t>Employee</t>
  </si>
  <si>
    <t>Sales</t>
  </si>
  <si>
    <t>Abdi</t>
  </si>
  <si>
    <t>Gigi</t>
  </si>
  <si>
    <t>Pham</t>
  </si>
  <si>
    <t>Tyrone</t>
  </si>
  <si>
    <t>Sioux</t>
  </si>
  <si>
    <t>Miki</t>
  </si>
  <si>
    <t>Naoya</t>
  </si>
  <si>
    <t>Price</t>
  </si>
  <si>
    <t>Quantity</t>
  </si>
  <si>
    <t>Total</t>
  </si>
  <si>
    <t>Formula in cell:</t>
  </si>
  <si>
    <t>What does Number Formatting do?</t>
  </si>
  <si>
    <t>Formulas do not “see” Number Formatting.</t>
  </si>
  <si>
    <t>General</t>
  </si>
  <si>
    <t>Currency</t>
  </si>
  <si>
    <t>Accounting</t>
  </si>
  <si>
    <t>Tax Rate</t>
  </si>
  <si>
    <t>Percentage Number Formatting</t>
  </si>
  <si>
    <t>and</t>
  </si>
  <si>
    <t>1) The decimal slid two positions to the right</t>
  </si>
  <si>
    <t>2) A percentage sign.</t>
  </si>
  <si>
    <t>0.03 displays as 3.00%</t>
  </si>
  <si>
    <t>Don't get trick by Percentage Number Formatting:</t>
  </si>
  <si>
    <t>For the number 0.03,</t>
  </si>
  <si>
    <t>Percentage Number Formatting displays the number with:</t>
  </si>
  <si>
    <t>Amount</t>
  </si>
  <si>
    <t>Tax Amount</t>
  </si>
  <si>
    <t>1% of $1 is 1 penny, right?</t>
  </si>
  <si>
    <t>How to round by hand?</t>
  </si>
  <si>
    <t>1) Pick position you want to round to</t>
  </si>
  <si>
    <t>2) look at digit to right:</t>
  </si>
  <si>
    <t>5 or bigger ==&gt;&gt;  add one to position you are rounding to and remove unwanted digits</t>
  </si>
  <si>
    <t>4 or less     ==&gt;&gt;  remove unwanted digits</t>
  </si>
  <si>
    <r>
      <t>52.7</t>
    </r>
    <r>
      <rPr>
        <b/>
        <sz val="16"/>
        <color rgb="FF0000FF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584</t>
    </r>
  </si>
  <si>
    <r>
      <t>52.7</t>
    </r>
    <r>
      <rPr>
        <sz val="11"/>
        <rFont val="Calibri"/>
        <family val="2"/>
        <scheme val="minor"/>
      </rPr>
      <t>2</t>
    </r>
    <r>
      <rPr>
        <sz val="16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584</t>
    </r>
  </si>
  <si>
    <r>
      <t>52.7</t>
    </r>
    <r>
      <rPr>
        <b/>
        <sz val="16"/>
        <color rgb="FF0000FF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625</t>
    </r>
  </si>
  <si>
    <r>
      <t>52.7</t>
    </r>
    <r>
      <rPr>
        <sz val="11"/>
        <rFont val="Calibri"/>
        <family val="2"/>
        <scheme val="minor"/>
      </rPr>
      <t>2</t>
    </r>
    <r>
      <rPr>
        <sz val="16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625</t>
    </r>
  </si>
  <si>
    <t>We can use the ROUND function to remove unwanted decimals</t>
  </si>
  <si>
    <t>Payroll</t>
  </si>
  <si>
    <t>Invoices</t>
  </si>
  <si>
    <t>Payroll:</t>
  </si>
  <si>
    <t>Gross Pay</t>
  </si>
  <si>
    <t>Tax Deduction</t>
  </si>
  <si>
    <t>Lillian  Holt</t>
  </si>
  <si>
    <t>Jasmine  Phelps</t>
  </si>
  <si>
    <t>Sadie  Hudson</t>
  </si>
  <si>
    <t>Rules for ROUND:</t>
  </si>
  <si>
    <t>Round to penny (hundredths position) use 2</t>
  </si>
  <si>
    <t>Round to dollar (ones position) use 0</t>
  </si>
  <si>
    <t>Round to thousands (thousands position) use -3</t>
  </si>
  <si>
    <t>Invoice Number</t>
  </si>
  <si>
    <t>Item</t>
  </si>
  <si>
    <t>Units</t>
  </si>
  <si>
    <t>1'' screws</t>
  </si>
  <si>
    <t>6" lock pads</t>
  </si>
  <si>
    <t>Subtotal</t>
  </si>
  <si>
    <t>Tax</t>
  </si>
  <si>
    <t>Thanks for your Order!</t>
  </si>
  <si>
    <t>**Payroll Taxes and Invoices often times have to round to the penny.</t>
  </si>
  <si>
    <t>**Sometimes for INCOME TAXES you have to round to the dollar.</t>
  </si>
  <si>
    <t>Taxable Amount</t>
  </si>
  <si>
    <t>Tax
rounded to dollar</t>
  </si>
  <si>
    <t>1) You are required to round, like with Money.</t>
  </si>
  <si>
    <t>3) You will use formula result in a subsequent formula.</t>
  </si>
  <si>
    <t>2) You have extraneous decimals, like past the penny position.</t>
  </si>
  <si>
    <t>When not to use ROUND:</t>
  </si>
  <si>
    <t>When you are just looking at number, then you can use Number Formatting</t>
  </si>
  <si>
    <t>Examples where you often have to round your numbers:</t>
  </si>
  <si>
    <t>ROUND</t>
  </si>
  <si>
    <t>No ROUND</t>
  </si>
  <si>
    <t>2'' screws</t>
  </si>
  <si>
    <t>Income Taxes</t>
  </si>
  <si>
    <t>No Number Format</t>
  </si>
  <si>
    <t>Currency Number Format does NOT Remove Decimals</t>
  </si>
  <si>
    <t>ROUND Removes Decimals after Penny Position</t>
  </si>
  <si>
    <t>Rules for ROUND Function second argument:</t>
  </si>
  <si>
    <t>When you MUST use ROUND:</t>
  </si>
  <si>
    <t>Invoicing:</t>
  </si>
  <si>
    <t>Income Tax:</t>
  </si>
  <si>
    <t>Lindee</t>
  </si>
  <si>
    <t>Billy</t>
  </si>
  <si>
    <t>Mo</t>
  </si>
  <si>
    <t>Chin</t>
  </si>
  <si>
    <t>Danny</t>
  </si>
  <si>
    <t>Osborn</t>
  </si>
  <si>
    <t>Phil</t>
  </si>
  <si>
    <t>Ann</t>
  </si>
  <si>
    <t>ShelaDawn</t>
  </si>
  <si>
    <t>Calculate the Tax Deduction for each employee and then add to get the Total Tax Deduction</t>
  </si>
  <si>
    <t>Incorrect</t>
  </si>
  <si>
    <t>What is misleading about the below spreadhseet?</t>
  </si>
  <si>
    <t>rate is supposed to be 10% or not, or if the formula result is</t>
  </si>
  <si>
    <t>correct. I do know that the formula can NOT "see" Number</t>
  </si>
  <si>
    <t>Formatting.</t>
  </si>
  <si>
    <t>1) Formulas make calculations on the underlying number that sits in the cell.</t>
  </si>
  <si>
    <t>2) Formulas do NOT make calculations on the Number Formatting that you see on the surface of the cell.</t>
  </si>
  <si>
    <t>Number Formatting can save us a lot of time with data entry!!</t>
  </si>
  <si>
    <t>General Number Formatting:</t>
  </si>
  <si>
    <t>General Number Formatting = What you see is what is in the cell.</t>
  </si>
  <si>
    <t>Accounting Number Format:</t>
  </si>
  <si>
    <t>Fixed dollar sign (left edge of cell).</t>
  </si>
  <si>
    <t>Negatives are in parenthesis.</t>
  </si>
  <si>
    <t>Zeros are dashes.</t>
  </si>
  <si>
    <t>Decimals always line up.</t>
  </si>
  <si>
    <t>Currency:</t>
  </si>
  <si>
    <t>Floating dollar sign.</t>
  </si>
  <si>
    <t>You choose how to show negatives.</t>
  </si>
  <si>
    <t>Zeros are zeros.</t>
  </si>
  <si>
    <t>Decimals usually line up.</t>
  </si>
  <si>
    <t>General Number Formatting ERASES all previously applied Number Formatting.</t>
  </si>
  <si>
    <t>Formulas do NOT "see" Number Formatting.</t>
  </si>
  <si>
    <t>Formula Calculate on underlying Number</t>
  </si>
  <si>
    <t>Type What you see:</t>
  </si>
  <si>
    <t>Office 2016 Video #21</t>
  </si>
  <si>
    <t>Excel Basics 9: Number Formatting as Façade &amp; the ROUND Function</t>
  </si>
  <si>
    <t>Number Formatting displays number a certain way without changing it!</t>
  </si>
  <si>
    <t>Formula can't "see" Number Formatting</t>
  </si>
  <si>
    <r>
      <t>52.7</t>
    </r>
    <r>
      <rPr>
        <b/>
        <sz val="16"/>
        <color rgb="FF0000FF"/>
        <rFont val="Calibri"/>
        <family val="2"/>
        <scheme val="minor"/>
      </rPr>
      <t>(2+1)</t>
    </r>
    <r>
      <rPr>
        <strike/>
        <sz val="11"/>
        <rFont val="Calibri"/>
        <family val="2"/>
        <scheme val="minor"/>
      </rPr>
      <t>7625</t>
    </r>
  </si>
  <si>
    <r>
      <t>52.7</t>
    </r>
    <r>
      <rPr>
        <b/>
        <sz val="16"/>
        <color rgb="FF0000FF"/>
        <rFont val="Calibri"/>
        <family val="2"/>
        <scheme val="minor"/>
      </rPr>
      <t>(2+0)</t>
    </r>
    <r>
      <rPr>
        <strike/>
        <sz val="11"/>
        <rFont val="Calibri"/>
        <family val="2"/>
        <scheme val="minor"/>
      </rPr>
      <t>4584</t>
    </r>
  </si>
  <si>
    <t>Façade:</t>
  </si>
  <si>
    <t>Price ($)</t>
  </si>
  <si>
    <t>Gross Pay ($)</t>
  </si>
  <si>
    <r>
      <rPr>
        <b/>
        <sz val="11"/>
        <color theme="1"/>
        <rFont val="Calibri"/>
        <family val="2"/>
        <scheme val="minor"/>
      </rPr>
      <t>Answer:</t>
    </r>
    <r>
      <rPr>
        <sz val="11"/>
        <color theme="1"/>
        <rFont val="Calibri"/>
        <family val="2"/>
        <scheme val="minor"/>
      </rPr>
      <t xml:space="preserve"> The Tax Rate has had the decimals decreased. I</t>
    </r>
  </si>
  <si>
    <t>am not sure if the person who created this thought the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</si>
</sst>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&quot;$&quot;#,##0.00"/>
    <numFmt numFmtId="166" formatCode="0.0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11"/>
      <name val="Calibri"/>
      <family val="2"/>
      <scheme val="minor"/>
    </font>
    <font>
      <sz val="16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5" fillId="2" borderId="0" xfId="0" applyFont="1" applyFill="1"/>
    <xf numFmtId="0" fontId="5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/>
    <xf numFmtId="165" fontId="0" fillId="0" borderId="1" xfId="0" applyNumberFormat="1" applyBorder="1"/>
    <xf numFmtId="0" fontId="0" fillId="0" borderId="0" xfId="0" applyAlignment="1">
      <alignment vertical="center"/>
    </xf>
    <xf numFmtId="0" fontId="0" fillId="4" borderId="1" xfId="0" applyFill="1" applyBorder="1"/>
    <xf numFmtId="44" fontId="0" fillId="0" borderId="1" xfId="0" applyNumberFormat="1" applyBorder="1"/>
    <xf numFmtId="0" fontId="6" fillId="0" borderId="0" xfId="0" applyFont="1"/>
    <xf numFmtId="0" fontId="5" fillId="5" borderId="1" xfId="0" applyFont="1" applyFill="1" applyBorder="1"/>
    <xf numFmtId="10" fontId="0" fillId="0" borderId="1" xfId="0" applyNumberFormat="1" applyBorder="1"/>
    <xf numFmtId="9" fontId="0" fillId="0" borderId="1" xfId="0" applyNumberFormat="1" applyBorder="1"/>
    <xf numFmtId="0" fontId="5" fillId="2" borderId="1" xfId="0" applyFont="1" applyFill="1" applyBorder="1" applyAlignment="1">
      <alignment wrapText="1"/>
    </xf>
    <xf numFmtId="8" fontId="0" fillId="0" borderId="1" xfId="0" applyNumberFormat="1" applyBorder="1"/>
    <xf numFmtId="8" fontId="0" fillId="3" borderId="1" xfId="1" applyNumberFormat="1" applyFont="1" applyFill="1" applyBorder="1"/>
    <xf numFmtId="0" fontId="2" fillId="6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" xfId="0" applyFont="1" applyBorder="1" applyAlignment="1">
      <alignment horizontal="centerContinuous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65" fontId="0" fillId="3" borderId="1" xfId="0" applyNumberFormat="1" applyFill="1" applyBorder="1"/>
    <xf numFmtId="0" fontId="4" fillId="0" borderId="12" xfId="0" applyFont="1" applyBorder="1"/>
    <xf numFmtId="0" fontId="0" fillId="0" borderId="13" xfId="0" applyBorder="1"/>
    <xf numFmtId="0" fontId="7" fillId="0" borderId="14" xfId="0" applyFont="1" applyBorder="1"/>
    <xf numFmtId="0" fontId="0" fillId="0" borderId="15" xfId="0" applyBorder="1"/>
    <xf numFmtId="0" fontId="0" fillId="0" borderId="14" xfId="0" applyBorder="1"/>
    <xf numFmtId="0" fontId="3" fillId="0" borderId="14" xfId="0" applyFont="1" applyBorder="1" applyAlignment="1">
      <alignment horizontal="left" indent="4"/>
    </xf>
    <xf numFmtId="0" fontId="0" fillId="0" borderId="15" xfId="0" quotePrefix="1" applyBorder="1" applyAlignment="1">
      <alignment horizontal="right"/>
    </xf>
    <xf numFmtId="0" fontId="0" fillId="0" borderId="16" xfId="0" applyBorder="1"/>
    <xf numFmtId="0" fontId="0" fillId="0" borderId="17" xfId="0" applyBorder="1"/>
    <xf numFmtId="165" fontId="0" fillId="3" borderId="1" xfId="1" applyNumberFormat="1" applyFont="1" applyFill="1" applyBorder="1"/>
    <xf numFmtId="165" fontId="0" fillId="3" borderId="2" xfId="1" applyNumberFormat="1" applyFont="1" applyFill="1" applyBorder="1"/>
    <xf numFmtId="0" fontId="5" fillId="2" borderId="18" xfId="0" applyFont="1" applyFill="1" applyBorder="1"/>
    <xf numFmtId="0" fontId="0" fillId="4" borderId="1" xfId="0" applyFill="1" applyBorder="1" applyAlignment="1">
      <alignment wrapText="1"/>
    </xf>
    <xf numFmtId="0" fontId="0" fillId="3" borderId="1" xfId="1" applyNumberFormat="1" applyFont="1" applyFill="1" applyBorder="1"/>
    <xf numFmtId="0" fontId="0" fillId="0" borderId="10" xfId="0" applyBorder="1"/>
    <xf numFmtId="0" fontId="0" fillId="0" borderId="11" xfId="0" applyBorder="1"/>
    <xf numFmtId="0" fontId="0" fillId="4" borderId="1" xfId="0" applyFill="1" applyBorder="1" applyAlignment="1">
      <alignment horizontal="left" indent="1"/>
    </xf>
    <xf numFmtId="0" fontId="0" fillId="7" borderId="1" xfId="0" applyFill="1" applyBorder="1"/>
    <xf numFmtId="166" fontId="0" fillId="0" borderId="1" xfId="0" applyNumberFormat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165" fontId="0" fillId="7" borderId="1" xfId="0" applyNumberFormat="1" applyFill="1" applyBorder="1"/>
    <xf numFmtId="1" fontId="0" fillId="0" borderId="1" xfId="0" applyNumberFormat="1" applyBorder="1"/>
    <xf numFmtId="0" fontId="0" fillId="0" borderId="0" xfId="0" applyAlignment="1">
      <alignment horizontal="left" vertical="center" indent="1"/>
    </xf>
    <xf numFmtId="0" fontId="0" fillId="9" borderId="0" xfId="0" applyFill="1"/>
    <xf numFmtId="0" fontId="4" fillId="9" borderId="0" xfId="0" applyFont="1" applyFill="1"/>
    <xf numFmtId="0" fontId="13" fillId="9" borderId="0" xfId="0" applyFont="1" applyFill="1" applyAlignment="1">
      <alignment horizontal="centerContinuous"/>
    </xf>
    <xf numFmtId="0" fontId="14" fillId="9" borderId="0" xfId="0" applyFont="1" applyFill="1" applyAlignment="1">
      <alignment horizontal="centerContinuous"/>
    </xf>
    <xf numFmtId="0" fontId="0" fillId="9" borderId="22" xfId="0" applyFill="1" applyBorder="1"/>
    <xf numFmtId="0" fontId="6" fillId="9" borderId="23" xfId="0" applyFont="1" applyFill="1" applyBorder="1" applyAlignment="1">
      <alignment vertical="center"/>
    </xf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0" xfId="0" applyFill="1" applyAlignment="1">
      <alignment horizontal="left" vertical="center" indent="2"/>
    </xf>
    <xf numFmtId="0" fontId="0" fillId="9" borderId="26" xfId="0" applyFill="1" applyBorder="1"/>
    <xf numFmtId="0" fontId="6" fillId="9" borderId="0" xfId="0" applyFont="1" applyFill="1" applyAlignment="1">
      <alignment vertical="center"/>
    </xf>
    <xf numFmtId="0" fontId="0" fillId="9" borderId="27" xfId="0" applyFill="1" applyBorder="1"/>
    <xf numFmtId="0" fontId="0" fillId="9" borderId="28" xfId="0" applyFill="1" applyBorder="1"/>
    <xf numFmtId="0" fontId="0" fillId="9" borderId="29" xfId="0" applyFill="1" applyBorder="1"/>
    <xf numFmtId="0" fontId="6" fillId="9" borderId="0" xfId="0" applyFont="1" applyFill="1"/>
    <xf numFmtId="0" fontId="5" fillId="5" borderId="18" xfId="0" applyFont="1" applyFill="1" applyBorder="1"/>
    <xf numFmtId="10" fontId="0" fillId="0" borderId="18" xfId="0" applyNumberFormat="1" applyBorder="1"/>
    <xf numFmtId="0" fontId="6" fillId="9" borderId="22" xfId="0" applyFont="1" applyFill="1" applyBorder="1"/>
    <xf numFmtId="0" fontId="0" fillId="9" borderId="0" xfId="0" applyFill="1" applyAlignment="1">
      <alignment horizontal="left" inden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6" fillId="9" borderId="0" xfId="0" applyFont="1" applyFill="1" applyAlignment="1">
      <alignment horizontal="left"/>
    </xf>
    <xf numFmtId="0" fontId="0" fillId="3" borderId="2" xfId="1" applyNumberFormat="1" applyFont="1" applyFill="1" applyBorder="1"/>
    <xf numFmtId="0" fontId="0" fillId="2" borderId="0" xfId="0" applyFill="1"/>
    <xf numFmtId="0" fontId="0" fillId="9" borderId="34" xfId="0" applyFill="1" applyBorder="1" applyAlignment="1">
      <alignment horizontal="centerContinuous"/>
    </xf>
    <xf numFmtId="0" fontId="0" fillId="9" borderId="35" xfId="0" applyFill="1" applyBorder="1" applyAlignment="1">
      <alignment horizontal="centerContinuous"/>
    </xf>
    <xf numFmtId="0" fontId="0" fillId="9" borderId="36" xfId="0" applyFill="1" applyBorder="1"/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0" xfId="0" applyFill="1" applyBorder="1"/>
    <xf numFmtId="0" fontId="15" fillId="9" borderId="33" xfId="0" applyFont="1" applyFill="1" applyBorder="1" applyAlignment="1">
      <alignment horizontal="centerContinuous"/>
    </xf>
    <xf numFmtId="0" fontId="12" fillId="9" borderId="0" xfId="0" applyFont="1" applyFill="1"/>
    <xf numFmtId="10" fontId="0" fillId="0" borderId="0" xfId="0" applyNumberFormat="1"/>
    <xf numFmtId="10" fontId="0" fillId="0" borderId="0" xfId="2" applyNumberFormat="1" applyFont="1"/>
    <xf numFmtId="0" fontId="0" fillId="0" borderId="1" xfId="1" applyNumberFormat="1" applyFont="1" applyFill="1" applyBorder="1"/>
    <xf numFmtId="10" fontId="0" fillId="0" borderId="1" xfId="2" applyNumberFormat="1" applyFont="1" applyBorder="1"/>
    <xf numFmtId="2" fontId="0" fillId="3" borderId="2" xfId="1" applyNumberFormat="1" applyFont="1" applyFill="1" applyBorder="1"/>
    <xf numFmtId="0" fontId="0" fillId="3" borderId="1" xfId="0" applyNumberFormat="1" applyFill="1" applyBorder="1"/>
  </cellXfs>
  <cellStyles count="3">
    <cellStyle name="Currency" xfId="1" builtinId="4"/>
    <cellStyle name="Normal" xfId="0" builtinId="0"/>
    <cellStyle name="Percent" xfId="2" builtinId="5"/>
  </cellStyles>
  <dxfs count="2">
    <dxf>
      <numFmt numFmtId="168" formatCode=";;;"/>
    </dxf>
    <dxf>
      <numFmt numFmtId="168" formatCode=";;;"/>
    </dxf>
  </dxfs>
  <tableStyles count="0" defaultTableStyle="TableStyleMedium2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222077</xdr:colOff>
      <xdr:row>24</xdr:row>
      <xdr:rowOff>76050</xdr:rowOff>
    </xdr:from>
    <xdr:to>
      <xdr:col>17</xdr:col>
      <xdr:colOff>472949</xdr:colOff>
      <xdr:row>29</xdr:row>
      <xdr:rowOff>80037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ECAB86-6227-4D29-90FE-F9B3F2619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308" y="4854832"/>
          <a:ext cx="861449" cy="1103026"/>
        </a:xfrm>
        <a:prstGeom prst="rect">
          <a:avLst/>
        </a:prstGeom>
      </xdr:spPr>
    </xdr:pic>
    <xdr:clientData/>
  </xdr:twoCellAnchor>
  <xdr:twoCellAnchor editAs="oneCell">
    <xdr:from>
      <xdr:col>9</xdr:col>
      <xdr:colOff>440412</xdr:colOff>
      <xdr:row>5</xdr:row>
      <xdr:rowOff>177113</xdr:rowOff>
    </xdr:from>
    <xdr:to>
      <xdr:col>17</xdr:col>
      <xdr:colOff>477116</xdr:colOff>
      <xdr:row>20</xdr:row>
      <xdr:rowOff>82500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76447A-4D02-420D-8E15-3EACAF543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7912" y="1219613"/>
          <a:ext cx="4896704" cy="2717887"/>
        </a:xfrm>
        <a:prstGeom prst="rect">
          <a:avLst/>
        </a:prstGeom>
      </xdr:spPr>
    </xdr:pic>
    <xdr:clientData/>
  </xdr:twoCellAnchor>
  <xdr:twoCellAnchor editAs="oneCell">
    <xdr:from>
      <xdr:col>1</xdr:col>
      <xdr:colOff>146019</xdr:colOff>
      <xdr:row>5</xdr:row>
      <xdr:rowOff>177113</xdr:rowOff>
    </xdr:from>
    <xdr:to>
      <xdr:col>9</xdr:col>
      <xdr:colOff>212950</xdr:colOff>
      <xdr:row>20</xdr:row>
      <xdr:rowOff>90000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590E69E-A023-4788-85DF-C23776278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519" y="1219613"/>
          <a:ext cx="4926931" cy="27253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241610</xdr:colOff>
      <xdr:row>10</xdr:row>
      <xdr:rowOff>87687</xdr:rowOff>
    </xdr:from>
    <xdr:to>
      <xdr:col>8</xdr:col>
      <xdr:colOff>298529</xdr:colOff>
      <xdr:row>17</xdr:row>
      <xdr:rowOff>133583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4905EA-0216-49E1-B0C4-714D304B0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110" y="1992687"/>
          <a:ext cx="4266969" cy="1379396"/>
        </a:xfrm>
        <a:prstGeom prst="rect">
          <a:avLst/>
        </a:prstGeom>
      </xdr:spPr>
    </xdr:pic>
    <xdr:clientData/>
  </xdr:twoCellAnchor>
  <xdr:twoCellAnchor editAs="oneCell">
    <xdr:from>
      <xdr:col>9</xdr:col>
      <xdr:colOff>25066</xdr:colOff>
      <xdr:row>9</xdr:row>
      <xdr:rowOff>36646</xdr:rowOff>
    </xdr:from>
    <xdr:to>
      <xdr:col>14</xdr:col>
      <xdr:colOff>253683</xdr:colOff>
      <xdr:row>18</xdr:row>
      <xdr:rowOff>147827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369B76-ACDC-4F97-B815-D378101C8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4237" y="1751146"/>
          <a:ext cx="3286643" cy="18256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241610</xdr:colOff>
      <xdr:row>10</xdr:row>
      <xdr:rowOff>87687</xdr:rowOff>
    </xdr:from>
    <xdr:to>
      <xdr:col>8</xdr:col>
      <xdr:colOff>298529</xdr:colOff>
      <xdr:row>17</xdr:row>
      <xdr:rowOff>133583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BC3CE-3B74-4C89-80E7-0463DBC4A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110" y="1802187"/>
          <a:ext cx="4266504" cy="13793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274132</xdr:colOff>
      <xdr:row>3</xdr:row>
      <xdr:rowOff>136059</xdr:rowOff>
    </xdr:from>
    <xdr:to>
      <xdr:col>4</xdr:col>
      <xdr:colOff>71319</xdr:colOff>
      <xdr:row>12</xdr:row>
      <xdr:rowOff>144036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5C3EEB-B929-4B01-8DCC-489C9B670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132" y="326559"/>
          <a:ext cx="1623199" cy="1722477"/>
        </a:xfrm>
        <a:prstGeom prst="rect">
          <a:avLst/>
        </a:prstGeom>
        <a:solidFill>
          <a:schemeClr val="accent1">
            <a:alpha val="0"/>
          </a:schemeClr>
        </a:solidFill>
        <a:ln w="2540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274132</xdr:colOff>
      <xdr:row>3</xdr:row>
      <xdr:rowOff>136059</xdr:rowOff>
    </xdr:from>
    <xdr:to>
      <xdr:col>4</xdr:col>
      <xdr:colOff>71319</xdr:colOff>
      <xdr:row>12</xdr:row>
      <xdr:rowOff>144036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A32A4-E963-4C8D-AF12-DB0062857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732" y="783759"/>
          <a:ext cx="1625987" cy="1722477"/>
        </a:xfrm>
        <a:prstGeom prst="rect">
          <a:avLst/>
        </a:prstGeom>
        <a:solidFill>
          <a:schemeClr val="accent1">
            <a:alpha val="0"/>
          </a:schemeClr>
        </a:solidFill>
        <a:ln w="2540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29767</xdr:colOff>
      <xdr:row>12</xdr:row>
      <xdr:rowOff>59530</xdr:rowOff>
    </xdr:from>
    <xdr:to>
      <xdr:col>17</xdr:col>
      <xdr:colOff>553640</xdr:colOff>
      <xdr:row>18</xdr:row>
      <xdr:rowOff>47625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24B7D61-B090-40B4-8CD1-9FD02C09F588}"/>
            </a:ext>
          </a:extLst>
        </xdr:cNvPr>
        <xdr:cNvGrpSpPr/>
      </xdr:nvGrpSpPr>
      <xdr:grpSpPr>
        <a:xfrm>
          <a:off x="10014595" y="2266702"/>
          <a:ext cx="4181473" cy="1328164"/>
          <a:chOff x="1964532" y="3786187"/>
          <a:chExt cx="4167186" cy="1166814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356A42DF-42F6-4DFB-B847-C3E924DFE3CC}"/>
              </a:ext>
            </a:extLst>
          </xdr:cNvPr>
          <xdr:cNvSpPr/>
        </xdr:nvSpPr>
        <xdr:spPr>
          <a:xfrm>
            <a:off x="1964532" y="4065985"/>
            <a:ext cx="1857375" cy="887016"/>
          </a:xfrm>
          <a:prstGeom prst="rect">
            <a:avLst/>
          </a:prstGeom>
          <a:solidFill>
            <a:schemeClr val="bg1"/>
          </a:solidFill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$163.89 is not the correct total becasue the SUM Function is adding all of the extraneous</a:t>
            </a:r>
            <a:r>
              <a:rPr lang="en-US" sz="11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decimals.</a:t>
            </a:r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B7D4BBD6-286C-4E4E-B7A8-5C08DC47A525}"/>
              </a:ext>
            </a:extLst>
          </xdr:cNvPr>
          <xdr:cNvCxnSpPr>
            <a:stCxn id="2" idx="0"/>
          </xdr:cNvCxnSpPr>
        </xdr:nvCxnSpPr>
        <xdr:spPr>
          <a:xfrm flipV="1">
            <a:off x="2893220" y="3786187"/>
            <a:ext cx="53577" cy="279798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9FC0FD21-B232-4C39-B228-066602CABD0E}"/>
              </a:ext>
            </a:extLst>
          </xdr:cNvPr>
          <xdr:cNvSpPr/>
        </xdr:nvSpPr>
        <xdr:spPr>
          <a:xfrm>
            <a:off x="4071937" y="4054078"/>
            <a:ext cx="2059781" cy="887016"/>
          </a:xfrm>
          <a:prstGeom prst="rect">
            <a:avLst/>
          </a:prstGeom>
          <a:solidFill>
            <a:schemeClr val="bg1"/>
          </a:solidFill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$163.90 is the correct total becasue each of the Tax Deduction amounts has been properly rounded using ROUND.</a:t>
            </a:r>
          </a:p>
        </xdr:txBody>
      </xdr: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5B3F853-CA6F-4682-BF71-7A89F4875272}"/>
              </a:ext>
            </a:extLst>
          </xdr:cNvPr>
          <xdr:cNvCxnSpPr>
            <a:stCxn id="5" idx="0"/>
          </xdr:cNvCxnSpPr>
        </xdr:nvCxnSpPr>
        <xdr:spPr>
          <a:xfrm flipH="1" flipV="1">
            <a:off x="4923234" y="3839766"/>
            <a:ext cx="178594" cy="214312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29767</xdr:colOff>
      <xdr:row>12</xdr:row>
      <xdr:rowOff>59530</xdr:rowOff>
    </xdr:from>
    <xdr:to>
      <xdr:col>17</xdr:col>
      <xdr:colOff>553640</xdr:colOff>
      <xdr:row>18</xdr:row>
      <xdr:rowOff>47625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9AC5BD6-C4C1-434E-B5FD-54FB5035BC0F}"/>
            </a:ext>
          </a:extLst>
        </xdr:cNvPr>
        <xdr:cNvGrpSpPr/>
      </xdr:nvGrpSpPr>
      <xdr:grpSpPr>
        <a:xfrm>
          <a:off x="10014595" y="2266702"/>
          <a:ext cx="4181473" cy="1107447"/>
          <a:chOff x="1964532" y="3786187"/>
          <a:chExt cx="4167186" cy="116681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F7EFA97-CD5E-4D74-B6CD-D959520C9D2B}"/>
              </a:ext>
            </a:extLst>
          </xdr:cNvPr>
          <xdr:cNvSpPr/>
        </xdr:nvSpPr>
        <xdr:spPr>
          <a:xfrm>
            <a:off x="1964532" y="4065985"/>
            <a:ext cx="1857375" cy="887016"/>
          </a:xfrm>
          <a:prstGeom prst="rect">
            <a:avLst/>
          </a:prstGeom>
          <a:solidFill>
            <a:schemeClr val="bg1"/>
          </a:solidFill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$163.89 is not the correct total becasue the SUM Function is adding all of the extraneous</a:t>
            </a:r>
            <a:r>
              <a:rPr lang="en-US" sz="11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decimals.</a:t>
            </a:r>
            <a:endPara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10FC91B7-74AE-4CC6-9040-40F2012C2CEF}"/>
              </a:ext>
            </a:extLst>
          </xdr:cNvPr>
          <xdr:cNvCxnSpPr>
            <a:stCxn id="3" idx="0"/>
          </xdr:cNvCxnSpPr>
        </xdr:nvCxnSpPr>
        <xdr:spPr>
          <a:xfrm flipV="1">
            <a:off x="2893220" y="3786187"/>
            <a:ext cx="53577" cy="279798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6B7C7C7-6154-44E7-BD0A-EE5DDE55014D}"/>
              </a:ext>
            </a:extLst>
          </xdr:cNvPr>
          <xdr:cNvSpPr/>
        </xdr:nvSpPr>
        <xdr:spPr>
          <a:xfrm>
            <a:off x="4071937" y="4054078"/>
            <a:ext cx="2059781" cy="887016"/>
          </a:xfrm>
          <a:prstGeom prst="rect">
            <a:avLst/>
          </a:prstGeom>
          <a:solidFill>
            <a:schemeClr val="bg1"/>
          </a:solidFill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$163.90 is the correct total becasue each of the Tax Deduction amounts has been properly rounded using ROUND.</a:t>
            </a:r>
          </a:p>
        </xdr:txBody>
      </xdr: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9DC958C-B173-4D01-8846-E389008A9FED}"/>
              </a:ext>
            </a:extLst>
          </xdr:cNvPr>
          <xdr:cNvCxnSpPr>
            <a:stCxn id="5" idx="0"/>
          </xdr:cNvCxnSpPr>
        </xdr:nvCxnSpPr>
        <xdr:spPr>
          <a:xfrm flipH="1" flipV="1">
            <a:off x="4923234" y="3839766"/>
            <a:ext cx="178594" cy="214312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7DD6-6A8E-42C1-8309-01C21865031D}">
  <sheetPr>
    <tabColor rgb="FFFFFF00"/>
  </sheetPr>
  <dimension ref="A1:S32"/>
  <sheetViews>
    <sheetView zoomScaleNormal="100" workbookViewId="0"/>
  </sheetViews>
  <sheetFormatPr defaultRowHeight="14.4" x14ac:dyDescent="0.3"/>
  <cols>
    <col min="18" max="18" width="9.109375" customWidth="1"/>
  </cols>
  <sheetData>
    <row r="1" spans="1:19" x14ac:dyDescent="0.3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</row>
    <row r="2" spans="1:19" ht="15" thickBot="1" x14ac:dyDescent="0.3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</row>
    <row r="3" spans="1:19" ht="31.8" thickTop="1" x14ac:dyDescent="0.6">
      <c r="A3" s="82"/>
      <c r="B3" s="90" t="s">
        <v>116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4"/>
      <c r="S3" s="82"/>
    </row>
    <row r="4" spans="1:19" x14ac:dyDescent="0.3">
      <c r="A4" s="82"/>
      <c r="B4" s="85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86"/>
      <c r="S4" s="82"/>
    </row>
    <row r="5" spans="1:19" ht="18" x14ac:dyDescent="0.35">
      <c r="A5" s="82"/>
      <c r="B5" s="85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91" t="s">
        <v>115</v>
      </c>
      <c r="Q5" s="57"/>
      <c r="R5" s="86"/>
      <c r="S5" s="82"/>
    </row>
    <row r="6" spans="1:19" x14ac:dyDescent="0.3">
      <c r="A6" s="82"/>
      <c r="B6" s="85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86"/>
      <c r="S6" s="82"/>
    </row>
    <row r="7" spans="1:19" x14ac:dyDescent="0.3">
      <c r="A7" s="82"/>
      <c r="B7" s="85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86"/>
      <c r="S7" s="82"/>
    </row>
    <row r="8" spans="1:19" x14ac:dyDescent="0.3">
      <c r="A8" s="82"/>
      <c r="B8" s="85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86"/>
      <c r="S8" s="82"/>
    </row>
    <row r="9" spans="1:19" x14ac:dyDescent="0.3">
      <c r="A9" s="82"/>
      <c r="B9" s="85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86"/>
      <c r="S9" s="82"/>
    </row>
    <row r="10" spans="1:19" x14ac:dyDescent="0.3">
      <c r="A10" s="82"/>
      <c r="B10" s="85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86"/>
      <c r="S10" s="82"/>
    </row>
    <row r="11" spans="1:19" x14ac:dyDescent="0.3">
      <c r="A11" s="82"/>
      <c r="B11" s="85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86"/>
      <c r="S11" s="82"/>
    </row>
    <row r="12" spans="1:19" x14ac:dyDescent="0.3">
      <c r="A12" s="82"/>
      <c r="B12" s="85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86"/>
      <c r="S12" s="82"/>
    </row>
    <row r="13" spans="1:19" x14ac:dyDescent="0.3">
      <c r="A13" s="82"/>
      <c r="B13" s="85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86"/>
      <c r="S13" s="82"/>
    </row>
    <row r="14" spans="1:19" x14ac:dyDescent="0.3">
      <c r="A14" s="82"/>
      <c r="B14" s="85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86"/>
      <c r="S14" s="82"/>
    </row>
    <row r="15" spans="1:19" x14ac:dyDescent="0.3">
      <c r="A15" s="82"/>
      <c r="B15" s="85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86"/>
      <c r="S15" s="82"/>
    </row>
    <row r="16" spans="1:19" x14ac:dyDescent="0.3">
      <c r="A16" s="82"/>
      <c r="B16" s="85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86"/>
      <c r="S16" s="82"/>
    </row>
    <row r="17" spans="1:19" x14ac:dyDescent="0.3">
      <c r="A17" s="82"/>
      <c r="B17" s="85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86"/>
      <c r="S17" s="82"/>
    </row>
    <row r="18" spans="1:19" x14ac:dyDescent="0.3">
      <c r="A18" s="82"/>
      <c r="B18" s="85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86"/>
      <c r="S18" s="82"/>
    </row>
    <row r="19" spans="1:19" x14ac:dyDescent="0.3">
      <c r="A19" s="82"/>
      <c r="B19" s="85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86"/>
      <c r="S19" s="82"/>
    </row>
    <row r="20" spans="1:19" x14ac:dyDescent="0.3">
      <c r="A20" s="82"/>
      <c r="B20" s="85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86"/>
      <c r="S20" s="82"/>
    </row>
    <row r="21" spans="1:19" x14ac:dyDescent="0.3">
      <c r="A21" s="82"/>
      <c r="B21" s="85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86"/>
      <c r="S21" s="82"/>
    </row>
    <row r="22" spans="1:19" x14ac:dyDescent="0.3">
      <c r="A22" s="82"/>
      <c r="B22" s="85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86"/>
      <c r="S22" s="82"/>
    </row>
    <row r="23" spans="1:19" x14ac:dyDescent="0.3">
      <c r="A23" s="82"/>
      <c r="B23" s="85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86"/>
      <c r="S23" s="82"/>
    </row>
    <row r="24" spans="1:19" x14ac:dyDescent="0.3">
      <c r="A24" s="82"/>
      <c r="B24" s="85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86"/>
      <c r="S24" s="82"/>
    </row>
    <row r="25" spans="1:19" ht="21" x14ac:dyDescent="0.4">
      <c r="A25" s="82"/>
      <c r="B25" s="85"/>
      <c r="C25" s="59" t="s">
        <v>117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86"/>
      <c r="S25" s="82"/>
    </row>
    <row r="26" spans="1:19" x14ac:dyDescent="0.3">
      <c r="A26" s="82"/>
      <c r="B26" s="85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86"/>
      <c r="S26" s="82"/>
    </row>
    <row r="27" spans="1:19" ht="21" x14ac:dyDescent="0.4">
      <c r="A27" s="82"/>
      <c r="B27" s="85"/>
      <c r="C27" s="59" t="s">
        <v>118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86"/>
      <c r="S27" s="82"/>
    </row>
    <row r="28" spans="1:19" x14ac:dyDescent="0.3">
      <c r="A28" s="82"/>
      <c r="B28" s="85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86"/>
      <c r="S28" s="82"/>
    </row>
    <row r="29" spans="1:19" x14ac:dyDescent="0.3">
      <c r="A29" s="82"/>
      <c r="B29" s="85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86"/>
      <c r="S29" s="82"/>
    </row>
    <row r="30" spans="1:19" ht="15" thickBot="1" x14ac:dyDescent="0.35">
      <c r="A30" s="82"/>
      <c r="B30" s="87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9"/>
      <c r="S30" s="82"/>
    </row>
    <row r="31" spans="1:19" ht="15" thickTop="1" x14ac:dyDescent="0.3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</row>
    <row r="32" spans="1:19" x14ac:dyDescent="0.3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FC41-3EA0-4655-A3FE-E3C691FE7AB7}">
  <sheetPr>
    <tabColor rgb="FF0000FF"/>
  </sheetPr>
  <dimension ref="A1:J19"/>
  <sheetViews>
    <sheetView zoomScale="190" zoomScaleNormal="190" workbookViewId="0">
      <selection activeCell="F2" sqref="F2"/>
    </sheetView>
  </sheetViews>
  <sheetFormatPr defaultRowHeight="14.4" x14ac:dyDescent="0.3"/>
  <cols>
    <col min="1" max="4" width="8.5546875" customWidth="1"/>
    <col min="5" max="5" width="8.6640625" customWidth="1"/>
    <col min="6" max="6" width="11.88671875" customWidth="1"/>
    <col min="7" max="7" width="2.109375" customWidth="1"/>
    <col min="8" max="8" width="14.6640625" bestFit="1" customWidth="1"/>
    <col min="9" max="9" width="9.109375" customWidth="1"/>
  </cols>
  <sheetData>
    <row r="1" spans="1:10" x14ac:dyDescent="0.3">
      <c r="A1" s="8" t="s">
        <v>13</v>
      </c>
      <c r="E1" s="2" t="s">
        <v>0</v>
      </c>
      <c r="F1" s="2" t="s">
        <v>1</v>
      </c>
    </row>
    <row r="2" spans="1:10" x14ac:dyDescent="0.3">
      <c r="E2" s="3" t="s">
        <v>2</v>
      </c>
      <c r="F2" s="55">
        <v>35060.705600000001</v>
      </c>
    </row>
    <row r="3" spans="1:10" x14ac:dyDescent="0.3">
      <c r="E3" s="3" t="s">
        <v>3</v>
      </c>
      <c r="F3" s="3">
        <v>25341.700700000001</v>
      </c>
    </row>
    <row r="4" spans="1:10" x14ac:dyDescent="0.3">
      <c r="E4" s="3" t="s">
        <v>4</v>
      </c>
      <c r="F4" s="3">
        <v>24428.465899999999</v>
      </c>
    </row>
    <row r="5" spans="1:10" x14ac:dyDescent="0.3">
      <c r="E5" s="3" t="s">
        <v>5</v>
      </c>
      <c r="F5" s="3">
        <v>33965.603900000002</v>
      </c>
    </row>
    <row r="6" spans="1:10" x14ac:dyDescent="0.3">
      <c r="E6" s="3" t="s">
        <v>6</v>
      </c>
      <c r="F6" s="3">
        <v>29549.5599</v>
      </c>
    </row>
    <row r="7" spans="1:10" x14ac:dyDescent="0.3">
      <c r="E7" s="3" t="s">
        <v>7</v>
      </c>
      <c r="F7" s="3">
        <v>25175.6986</v>
      </c>
    </row>
    <row r="8" spans="1:10" x14ac:dyDescent="0.3">
      <c r="E8" s="3" t="s">
        <v>8</v>
      </c>
      <c r="F8" s="3">
        <v>47516.873200000002</v>
      </c>
    </row>
    <row r="9" spans="1:10" x14ac:dyDescent="0.3">
      <c r="J9" t="s">
        <v>121</v>
      </c>
    </row>
    <row r="10" spans="1:10" x14ac:dyDescent="0.3">
      <c r="B10" s="57"/>
      <c r="C10" s="57"/>
      <c r="D10" s="57"/>
      <c r="E10" s="57"/>
      <c r="F10" s="57"/>
      <c r="G10" s="57"/>
      <c r="H10" s="57"/>
      <c r="I10" s="57"/>
    </row>
    <row r="11" spans="1:10" x14ac:dyDescent="0.3">
      <c r="B11" s="57"/>
      <c r="C11" s="57"/>
      <c r="D11" s="57"/>
      <c r="E11" s="57"/>
      <c r="F11" s="57"/>
      <c r="G11" s="57"/>
      <c r="H11" s="57"/>
      <c r="I11" s="57"/>
    </row>
    <row r="12" spans="1:10" x14ac:dyDescent="0.3">
      <c r="B12" s="57"/>
      <c r="C12" s="57"/>
      <c r="D12" s="57"/>
      <c r="E12" s="57"/>
      <c r="F12" s="57"/>
      <c r="G12" s="57"/>
      <c r="H12" s="57"/>
      <c r="I12" s="57"/>
    </row>
    <row r="13" spans="1:10" x14ac:dyDescent="0.3">
      <c r="B13" s="57"/>
      <c r="C13" s="57"/>
      <c r="D13" s="57"/>
      <c r="E13" s="57"/>
      <c r="F13" s="57"/>
      <c r="G13" s="57"/>
      <c r="H13" s="57"/>
      <c r="I13" s="57"/>
    </row>
    <row r="14" spans="1:10" x14ac:dyDescent="0.3">
      <c r="B14" s="57"/>
      <c r="C14" s="57"/>
      <c r="D14" s="57"/>
      <c r="E14" s="57"/>
      <c r="F14" s="57"/>
      <c r="G14" s="57"/>
      <c r="H14" s="57"/>
      <c r="I14" s="57"/>
    </row>
    <row r="15" spans="1:10" x14ac:dyDescent="0.3">
      <c r="B15" s="57"/>
      <c r="C15" s="57"/>
      <c r="D15" s="57"/>
      <c r="E15" s="57"/>
      <c r="F15" s="57"/>
      <c r="G15" s="57"/>
      <c r="H15" s="57"/>
      <c r="I15" s="57"/>
    </row>
    <row r="16" spans="1:10" x14ac:dyDescent="0.3">
      <c r="B16" s="57"/>
      <c r="C16" s="57"/>
      <c r="D16" s="57"/>
      <c r="E16" s="57"/>
      <c r="F16" s="57"/>
      <c r="G16" s="57"/>
      <c r="H16" s="57"/>
      <c r="I16" s="57"/>
    </row>
    <row r="17" spans="2:9" x14ac:dyDescent="0.3">
      <c r="B17" s="57"/>
      <c r="C17" s="57"/>
      <c r="D17" s="57"/>
      <c r="E17" s="57"/>
      <c r="F17" s="57"/>
      <c r="G17" s="57"/>
      <c r="H17" s="57"/>
      <c r="I17" s="57"/>
    </row>
    <row r="18" spans="2:9" x14ac:dyDescent="0.3">
      <c r="B18" s="57"/>
      <c r="C18" s="57"/>
      <c r="D18" s="57"/>
      <c r="E18" s="57"/>
      <c r="F18" s="57"/>
      <c r="G18" s="57"/>
      <c r="H18" s="57"/>
      <c r="I18" s="57"/>
    </row>
    <row r="19" spans="2:9" x14ac:dyDescent="0.3">
      <c r="B19" s="57"/>
      <c r="C19" s="57"/>
      <c r="D19" s="57"/>
      <c r="E19" s="57"/>
      <c r="F19" s="57"/>
      <c r="G19" s="57"/>
      <c r="H19" s="57"/>
      <c r="I19" s="5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9486-6762-47A8-911A-40649459A00E}">
  <sheetPr>
    <tabColor rgb="FFFF0000"/>
  </sheetPr>
  <dimension ref="A1:I19"/>
  <sheetViews>
    <sheetView zoomScale="190" zoomScaleNormal="190" workbookViewId="0">
      <selection activeCell="F2" sqref="F2"/>
    </sheetView>
  </sheetViews>
  <sheetFormatPr defaultRowHeight="14.4" x14ac:dyDescent="0.3"/>
  <cols>
    <col min="1" max="4" width="8.5546875" customWidth="1"/>
    <col min="5" max="5" width="8.6640625" customWidth="1"/>
    <col min="6" max="6" width="11.88671875" customWidth="1"/>
    <col min="7" max="7" width="2.109375" customWidth="1"/>
    <col min="8" max="8" width="14.6640625" bestFit="1" customWidth="1"/>
    <col min="9" max="9" width="9.109375" customWidth="1"/>
  </cols>
  <sheetData>
    <row r="1" spans="1:9" x14ac:dyDescent="0.3">
      <c r="A1" s="8" t="s">
        <v>13</v>
      </c>
      <c r="E1" s="2" t="s">
        <v>0</v>
      </c>
      <c r="F1" s="2" t="s">
        <v>1</v>
      </c>
    </row>
    <row r="2" spans="1:9" x14ac:dyDescent="0.3">
      <c r="E2" s="3" t="s">
        <v>2</v>
      </c>
      <c r="F2" s="55">
        <v>35060.705600000001</v>
      </c>
    </row>
    <row r="3" spans="1:9" x14ac:dyDescent="0.3">
      <c r="E3" s="3" t="s">
        <v>3</v>
      </c>
      <c r="F3" s="3">
        <v>25341.700700000001</v>
      </c>
    </row>
    <row r="4" spans="1:9" x14ac:dyDescent="0.3">
      <c r="E4" s="3" t="s">
        <v>4</v>
      </c>
      <c r="F4" s="3">
        <v>24428.465899999999</v>
      </c>
    </row>
    <row r="5" spans="1:9" x14ac:dyDescent="0.3">
      <c r="E5" s="3" t="s">
        <v>5</v>
      </c>
      <c r="F5" s="3">
        <v>33965.603900000002</v>
      </c>
    </row>
    <row r="6" spans="1:9" x14ac:dyDescent="0.3">
      <c r="E6" s="3" t="s">
        <v>6</v>
      </c>
      <c r="F6" s="3">
        <v>29549.5599</v>
      </c>
    </row>
    <row r="7" spans="1:9" x14ac:dyDescent="0.3">
      <c r="E7" s="3" t="s">
        <v>7</v>
      </c>
      <c r="F7" s="3">
        <v>25175.6986</v>
      </c>
    </row>
    <row r="8" spans="1:9" x14ac:dyDescent="0.3">
      <c r="E8" s="3" t="s">
        <v>8</v>
      </c>
      <c r="F8" s="3">
        <v>47516.873200000002</v>
      </c>
    </row>
    <row r="10" spans="1:9" x14ac:dyDescent="0.3">
      <c r="B10" s="57"/>
      <c r="C10" s="57"/>
      <c r="D10" s="57"/>
      <c r="E10" s="57"/>
      <c r="F10" s="57"/>
      <c r="G10" s="57"/>
      <c r="H10" s="57"/>
      <c r="I10" s="57"/>
    </row>
    <row r="11" spans="1:9" x14ac:dyDescent="0.3">
      <c r="B11" s="57"/>
      <c r="C11" s="57"/>
      <c r="D11" s="57"/>
      <c r="E11" s="57"/>
      <c r="F11" s="57"/>
      <c r="G11" s="57"/>
      <c r="H11" s="57"/>
      <c r="I11" s="57"/>
    </row>
    <row r="12" spans="1:9" x14ac:dyDescent="0.3">
      <c r="B12" s="57"/>
      <c r="C12" s="57"/>
      <c r="D12" s="57"/>
      <c r="E12" s="57"/>
      <c r="F12" s="57"/>
      <c r="G12" s="57"/>
      <c r="H12" s="57"/>
      <c r="I12" s="57"/>
    </row>
    <row r="13" spans="1:9" x14ac:dyDescent="0.3">
      <c r="B13" s="57"/>
      <c r="C13" s="57"/>
      <c r="D13" s="57"/>
      <c r="E13" s="57"/>
      <c r="F13" s="57"/>
      <c r="G13" s="57"/>
      <c r="H13" s="57"/>
      <c r="I13" s="57"/>
    </row>
    <row r="14" spans="1:9" x14ac:dyDescent="0.3">
      <c r="B14" s="57"/>
      <c r="C14" s="57"/>
      <c r="D14" s="57"/>
      <c r="E14" s="57"/>
      <c r="F14" s="57"/>
      <c r="G14" s="57"/>
      <c r="H14" s="57"/>
      <c r="I14" s="57"/>
    </row>
    <row r="15" spans="1:9" x14ac:dyDescent="0.3">
      <c r="B15" s="57"/>
      <c r="C15" s="57"/>
      <c r="D15" s="57"/>
      <c r="E15" s="57"/>
      <c r="F15" s="57"/>
      <c r="G15" s="57"/>
      <c r="H15" s="57"/>
      <c r="I15" s="57"/>
    </row>
    <row r="16" spans="1:9" x14ac:dyDescent="0.3">
      <c r="B16" s="57"/>
      <c r="C16" s="57"/>
      <c r="D16" s="57"/>
      <c r="E16" s="57"/>
      <c r="F16" s="57"/>
      <c r="G16" s="57"/>
      <c r="H16" s="57"/>
      <c r="I16" s="57"/>
    </row>
    <row r="17" spans="2:9" x14ac:dyDescent="0.3">
      <c r="B17" s="57"/>
      <c r="C17" s="57"/>
      <c r="D17" s="57"/>
      <c r="E17" s="57"/>
      <c r="F17" s="57"/>
      <c r="G17" s="57"/>
      <c r="H17" s="57"/>
      <c r="I17" s="57"/>
    </row>
    <row r="18" spans="2:9" x14ac:dyDescent="0.3">
      <c r="B18" s="57"/>
      <c r="C18" s="57"/>
      <c r="D18" s="57"/>
      <c r="E18" s="57"/>
      <c r="F18" s="57"/>
      <c r="G18" s="57"/>
      <c r="H18" s="57"/>
      <c r="I18" s="57"/>
    </row>
    <row r="19" spans="2:9" x14ac:dyDescent="0.3">
      <c r="B19" s="57"/>
      <c r="C19" s="57"/>
      <c r="D19" s="57"/>
      <c r="E19" s="57"/>
      <c r="F19" s="57"/>
      <c r="G19" s="57"/>
      <c r="H19" s="57"/>
      <c r="I19" s="5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B661-E88A-4D4F-8FC1-DC6E9738F974}">
  <sheetPr>
    <tabColor rgb="FF0000FF"/>
  </sheetPr>
  <dimension ref="A1:E8"/>
  <sheetViews>
    <sheetView zoomScale="250" zoomScaleNormal="250" workbookViewId="0">
      <selection activeCell="A2" sqref="A2"/>
    </sheetView>
  </sheetViews>
  <sheetFormatPr defaultRowHeight="14.4" x14ac:dyDescent="0.3"/>
  <cols>
    <col min="1" max="1" width="15.5546875" customWidth="1"/>
    <col min="2" max="2" width="8.6640625" customWidth="1"/>
    <col min="3" max="3" width="10.44140625" customWidth="1"/>
    <col min="4" max="4" width="2.109375" customWidth="1"/>
    <col min="5" max="5" width="25.88671875" customWidth="1"/>
    <col min="6" max="6" width="9.109375" customWidth="1"/>
  </cols>
  <sheetData>
    <row r="1" spans="1:5" x14ac:dyDescent="0.3">
      <c r="A1" s="2" t="s">
        <v>9</v>
      </c>
      <c r="B1" s="2" t="s">
        <v>10</v>
      </c>
      <c r="C1" s="2" t="s">
        <v>11</v>
      </c>
      <c r="E1" s="2" t="s">
        <v>12</v>
      </c>
    </row>
    <row r="2" spans="1:5" x14ac:dyDescent="0.3">
      <c r="A2" s="4">
        <v>99.5</v>
      </c>
      <c r="B2" s="3">
        <v>2</v>
      </c>
      <c r="C2" s="5">
        <f>B2*A2</f>
        <v>199</v>
      </c>
      <c r="E2" s="7" t="str">
        <f ca="1">IF(_xlfn.ISFORMULA(C2),"Formula in cell "&amp;ADDRESS(ROW(C2),COLUMN(C2),4)&amp;" is:"&amp;CHAR(10)&amp;_xlfn.FORMULATEXT(C2)&amp;" ("&amp;A1&amp;"*"&amp;B1&amp;")","")</f>
        <v>Formula in cell C2 is:
=B2*A2 (Price*Quantity)</v>
      </c>
    </row>
    <row r="6" spans="1:5" x14ac:dyDescent="0.3">
      <c r="A6" s="8" t="s">
        <v>14</v>
      </c>
    </row>
    <row r="7" spans="1:5" x14ac:dyDescent="0.3">
      <c r="A7" s="56" t="s">
        <v>96</v>
      </c>
    </row>
    <row r="8" spans="1:5" x14ac:dyDescent="0.3">
      <c r="A8" s="56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C472-771C-4378-B3D4-1038D85147AC}">
  <sheetPr>
    <tabColor rgb="FFFF0000"/>
  </sheetPr>
  <dimension ref="A1:E8"/>
  <sheetViews>
    <sheetView zoomScale="205" zoomScaleNormal="205" workbookViewId="0">
      <selection activeCell="C2" sqref="C2"/>
    </sheetView>
  </sheetViews>
  <sheetFormatPr defaultRowHeight="14.4" x14ac:dyDescent="0.3"/>
  <cols>
    <col min="1" max="1" width="15.5546875" customWidth="1"/>
    <col min="2" max="2" width="8.6640625" customWidth="1"/>
    <col min="3" max="3" width="10.44140625" customWidth="1"/>
    <col min="4" max="4" width="2.109375" customWidth="1"/>
    <col min="5" max="5" width="25.88671875" customWidth="1"/>
    <col min="6" max="6" width="9.109375" customWidth="1"/>
  </cols>
  <sheetData>
    <row r="1" spans="1:5" x14ac:dyDescent="0.3">
      <c r="A1" s="2" t="s">
        <v>9</v>
      </c>
      <c r="B1" s="2" t="s">
        <v>10</v>
      </c>
      <c r="C1" s="2" t="s">
        <v>11</v>
      </c>
      <c r="E1" s="2" t="s">
        <v>12</v>
      </c>
    </row>
    <row r="2" spans="1:5" ht="28.8" x14ac:dyDescent="0.3">
      <c r="A2" s="4">
        <v>99.5</v>
      </c>
      <c r="B2" s="3">
        <v>2</v>
      </c>
      <c r="C2" s="5">
        <f>A2*B2</f>
        <v>199</v>
      </c>
      <c r="E2" s="7" t="str">
        <f ca="1">"Formula in cell "&amp;ADDRESS(ROW(C2),COLUMN(C2),4)&amp;" is:"&amp;CHAR(10)&amp;_xlfn.FORMULATEXT(C2)&amp;" ("&amp;A1&amp;"*"&amp;B1&amp;")"</f>
        <v>Formula in cell C2 is:
=A2*B2 (Price*Quantity)</v>
      </c>
    </row>
    <row r="6" spans="1:5" x14ac:dyDescent="0.3">
      <c r="A6" s="8" t="s">
        <v>14</v>
      </c>
    </row>
    <row r="7" spans="1:5" x14ac:dyDescent="0.3">
      <c r="A7" s="56" t="s">
        <v>96</v>
      </c>
    </row>
    <row r="8" spans="1:5" x14ac:dyDescent="0.3">
      <c r="A8" s="56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F335-454E-45CB-A6E6-53C1C100D2AF}">
  <sheetPr>
    <tabColor rgb="FF0000FF"/>
  </sheetPr>
  <dimension ref="A1:J12"/>
  <sheetViews>
    <sheetView zoomScale="175" zoomScaleNormal="175" workbookViewId="0">
      <selection activeCell="I11" sqref="I11"/>
    </sheetView>
  </sheetViews>
  <sheetFormatPr defaultRowHeight="14.4" x14ac:dyDescent="0.3"/>
  <sheetData>
    <row r="1" spans="1:10" x14ac:dyDescent="0.3">
      <c r="A1" s="57"/>
      <c r="B1" s="57"/>
      <c r="C1" s="57"/>
      <c r="D1" s="57"/>
      <c r="E1" s="57"/>
      <c r="F1" s="57"/>
      <c r="G1" s="57"/>
      <c r="H1" s="57"/>
      <c r="I1" s="57"/>
      <c r="J1" s="57"/>
    </row>
    <row r="2" spans="1:10" ht="21" x14ac:dyDescent="0.4">
      <c r="A2" s="59" t="s">
        <v>98</v>
      </c>
      <c r="B2" s="59"/>
      <c r="C2" s="60"/>
      <c r="D2" s="60"/>
      <c r="E2" s="60"/>
      <c r="F2" s="60"/>
      <c r="G2" s="60"/>
      <c r="H2" s="60"/>
      <c r="I2" s="60"/>
      <c r="J2" s="60"/>
    </row>
    <row r="3" spans="1:10" x14ac:dyDescent="0.3">
      <c r="A3" s="57"/>
      <c r="B3" s="58"/>
      <c r="C3" s="57"/>
      <c r="D3" s="57"/>
      <c r="E3" s="57"/>
      <c r="F3" s="57"/>
      <c r="G3" s="57"/>
      <c r="H3" s="57"/>
      <c r="I3" s="57"/>
      <c r="J3" s="57"/>
    </row>
    <row r="5" spans="1:10" x14ac:dyDescent="0.3">
      <c r="F5" s="1" t="s">
        <v>1</v>
      </c>
      <c r="H5" s="1" t="s">
        <v>1</v>
      </c>
    </row>
    <row r="6" spans="1:10" x14ac:dyDescent="0.3">
      <c r="F6" s="9">
        <v>45</v>
      </c>
      <c r="H6" s="9">
        <v>45</v>
      </c>
    </row>
    <row r="7" spans="1:10" x14ac:dyDescent="0.3">
      <c r="F7" s="9">
        <v>65.2</v>
      </c>
      <c r="H7" s="9">
        <v>65.2</v>
      </c>
    </row>
    <row r="8" spans="1:10" x14ac:dyDescent="0.3">
      <c r="F8" s="9">
        <v>78.989999999999995</v>
      </c>
      <c r="H8" s="9">
        <v>78.989999999999995</v>
      </c>
    </row>
    <row r="9" spans="1:10" x14ac:dyDescent="0.3">
      <c r="F9" s="9">
        <v>100</v>
      </c>
      <c r="H9" s="9">
        <v>100</v>
      </c>
    </row>
    <row r="10" spans="1:10" x14ac:dyDescent="0.3">
      <c r="F10" s="9">
        <v>101</v>
      </c>
      <c r="H10" s="9">
        <v>101</v>
      </c>
    </row>
    <row r="11" spans="1:10" x14ac:dyDescent="0.3">
      <c r="F11" s="9">
        <v>98.2</v>
      </c>
      <c r="H11" s="9">
        <v>98.2</v>
      </c>
    </row>
    <row r="12" spans="1:10" x14ac:dyDescent="0.3">
      <c r="F12" s="9">
        <v>20</v>
      </c>
      <c r="H12" s="9">
        <v>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9A39-3DBA-4661-9819-B6640E34C25E}">
  <sheetPr>
    <tabColor rgb="FFFF0000"/>
  </sheetPr>
  <dimension ref="A1:J12"/>
  <sheetViews>
    <sheetView zoomScale="235" zoomScaleNormal="235" workbookViewId="0">
      <selection activeCell="F6" sqref="F6"/>
    </sheetView>
  </sheetViews>
  <sheetFormatPr defaultRowHeight="14.4" x14ac:dyDescent="0.3"/>
  <sheetData>
    <row r="1" spans="1:10" x14ac:dyDescent="0.3">
      <c r="A1" s="57"/>
      <c r="B1" s="57"/>
      <c r="C1" s="57"/>
      <c r="D1" s="57"/>
      <c r="E1" s="57"/>
      <c r="F1" s="57"/>
      <c r="G1" s="57"/>
      <c r="H1" s="57"/>
      <c r="I1" s="57"/>
      <c r="J1" s="57"/>
    </row>
    <row r="2" spans="1:10" ht="21" x14ac:dyDescent="0.4">
      <c r="A2" s="59" t="s">
        <v>98</v>
      </c>
      <c r="B2" s="59"/>
      <c r="C2" s="60"/>
      <c r="D2" s="60"/>
      <c r="E2" s="60"/>
      <c r="F2" s="60"/>
      <c r="G2" s="60"/>
      <c r="H2" s="60"/>
      <c r="I2" s="60"/>
      <c r="J2" s="60"/>
    </row>
    <row r="3" spans="1:10" x14ac:dyDescent="0.3">
      <c r="A3" s="57"/>
      <c r="B3" s="58"/>
      <c r="C3" s="57"/>
      <c r="D3" s="57"/>
      <c r="E3" s="57"/>
      <c r="F3" s="57"/>
      <c r="G3" s="57"/>
      <c r="H3" s="57"/>
      <c r="I3" s="57"/>
      <c r="J3" s="57"/>
    </row>
    <row r="5" spans="1:10" x14ac:dyDescent="0.3">
      <c r="F5" s="1" t="s">
        <v>1</v>
      </c>
      <c r="H5" s="1" t="s">
        <v>1</v>
      </c>
    </row>
    <row r="6" spans="1:10" x14ac:dyDescent="0.3">
      <c r="F6" s="9">
        <v>45</v>
      </c>
      <c r="H6" s="9">
        <v>45</v>
      </c>
    </row>
    <row r="7" spans="1:10" x14ac:dyDescent="0.3">
      <c r="F7" s="9">
        <v>65.2</v>
      </c>
      <c r="H7" s="9">
        <v>65.2</v>
      </c>
    </row>
    <row r="8" spans="1:10" x14ac:dyDescent="0.3">
      <c r="F8" s="9">
        <v>78.989999999999995</v>
      </c>
      <c r="H8" s="9">
        <v>78.989999999999995</v>
      </c>
    </row>
    <row r="9" spans="1:10" x14ac:dyDescent="0.3">
      <c r="F9" s="9">
        <v>100</v>
      </c>
      <c r="H9" s="9">
        <v>100</v>
      </c>
    </row>
    <row r="10" spans="1:10" x14ac:dyDescent="0.3">
      <c r="F10" s="9">
        <v>101</v>
      </c>
      <c r="H10" s="9">
        <v>101</v>
      </c>
    </row>
    <row r="11" spans="1:10" x14ac:dyDescent="0.3">
      <c r="F11" s="9">
        <v>95.2</v>
      </c>
      <c r="H11" s="9">
        <v>98.2</v>
      </c>
    </row>
    <row r="12" spans="1:10" x14ac:dyDescent="0.3">
      <c r="F12" s="9">
        <v>20</v>
      </c>
      <c r="H12" s="9">
        <v>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993A-536F-4E22-B0B9-CA4B097A24EE}">
  <sheetPr>
    <tabColor rgb="FF0000FF"/>
  </sheetPr>
  <dimension ref="B2:P18"/>
  <sheetViews>
    <sheetView tabSelected="1" zoomScale="160" zoomScaleNormal="160" workbookViewId="0">
      <selection activeCell="J5" sqref="J5"/>
    </sheetView>
  </sheetViews>
  <sheetFormatPr defaultRowHeight="14.4" x14ac:dyDescent="0.3"/>
  <cols>
    <col min="1" max="1" width="5" customWidth="1"/>
    <col min="2" max="2" width="10.88671875" customWidth="1"/>
    <col min="3" max="3" width="5" customWidth="1"/>
    <col min="4" max="4" width="10.88671875" customWidth="1"/>
    <col min="5" max="5" width="5" customWidth="1"/>
    <col min="6" max="6" width="10.88671875" customWidth="1"/>
    <col min="8" max="8" width="3.88671875" customWidth="1"/>
  </cols>
  <sheetData>
    <row r="2" spans="2:16" x14ac:dyDescent="0.3">
      <c r="B2" s="11" t="s">
        <v>15</v>
      </c>
      <c r="D2" s="11" t="s">
        <v>16</v>
      </c>
      <c r="F2" s="11" t="s">
        <v>17</v>
      </c>
      <c r="H2" s="61"/>
      <c r="I2" s="62" t="s">
        <v>99</v>
      </c>
      <c r="J2" s="63"/>
      <c r="K2" s="63"/>
      <c r="L2" s="63"/>
      <c r="M2" s="63"/>
      <c r="N2" s="63"/>
      <c r="O2" s="63"/>
      <c r="P2" s="64"/>
    </row>
    <row r="3" spans="2:16" x14ac:dyDescent="0.3">
      <c r="B3" s="1" t="s">
        <v>1</v>
      </c>
      <c r="D3" s="1" t="s">
        <v>1</v>
      </c>
      <c r="F3" s="1" t="s">
        <v>1</v>
      </c>
      <c r="H3" s="65"/>
      <c r="I3" s="66" t="s">
        <v>100</v>
      </c>
      <c r="J3" s="57"/>
      <c r="K3" s="57"/>
      <c r="L3" s="57"/>
      <c r="M3" s="57"/>
      <c r="N3" s="57"/>
      <c r="O3" s="57"/>
      <c r="P3" s="67"/>
    </row>
    <row r="4" spans="2:16" x14ac:dyDescent="0.3">
      <c r="B4" s="3">
        <v>45</v>
      </c>
      <c r="D4" s="9">
        <f t="shared" ref="D4:D10" si="0">B4</f>
        <v>45</v>
      </c>
      <c r="F4" s="12">
        <f t="shared" ref="F4:F10" si="1">D4</f>
        <v>45</v>
      </c>
      <c r="H4" s="65"/>
      <c r="I4" s="66" t="s">
        <v>111</v>
      </c>
      <c r="J4" s="57"/>
      <c r="K4" s="57"/>
      <c r="L4" s="57"/>
      <c r="M4" s="57"/>
      <c r="N4" s="57"/>
      <c r="O4" s="57"/>
      <c r="P4" s="67"/>
    </row>
    <row r="5" spans="2:16" x14ac:dyDescent="0.3">
      <c r="B5" s="3">
        <v>0</v>
      </c>
      <c r="D5" s="9">
        <f t="shared" si="0"/>
        <v>0</v>
      </c>
      <c r="F5" s="12">
        <f t="shared" si="1"/>
        <v>0</v>
      </c>
      <c r="H5" s="65"/>
      <c r="I5" s="68" t="s">
        <v>101</v>
      </c>
      <c r="J5" s="57"/>
      <c r="K5" s="57"/>
      <c r="L5" s="57"/>
      <c r="M5" s="57"/>
      <c r="N5" s="57"/>
      <c r="O5" s="57"/>
      <c r="P5" s="67"/>
    </row>
    <row r="6" spans="2:16" x14ac:dyDescent="0.3">
      <c r="B6" s="3">
        <v>78.989999999999995</v>
      </c>
      <c r="D6" s="18">
        <f t="shared" si="0"/>
        <v>78.989999999999995</v>
      </c>
      <c r="F6" s="12">
        <f t="shared" si="1"/>
        <v>78.989999999999995</v>
      </c>
      <c r="H6" s="65"/>
      <c r="I6" s="66" t="s">
        <v>102</v>
      </c>
      <c r="J6" s="57"/>
      <c r="K6" s="57"/>
      <c r="L6" s="57"/>
      <c r="M6" s="57"/>
      <c r="N6" s="57"/>
      <c r="O6" s="57"/>
      <c r="P6" s="67"/>
    </row>
    <row r="7" spans="2:16" x14ac:dyDescent="0.3">
      <c r="B7" s="3">
        <v>100</v>
      </c>
      <c r="D7" s="9">
        <f t="shared" si="0"/>
        <v>100</v>
      </c>
      <c r="F7" s="12">
        <f t="shared" si="1"/>
        <v>100</v>
      </c>
      <c r="H7" s="65"/>
      <c r="I7" s="66" t="s">
        <v>103</v>
      </c>
      <c r="J7" s="57"/>
      <c r="K7" s="57"/>
      <c r="L7" s="57"/>
      <c r="M7" s="57"/>
      <c r="N7" s="57"/>
      <c r="O7" s="57"/>
      <c r="P7" s="67"/>
    </row>
    <row r="8" spans="2:16" x14ac:dyDescent="0.3">
      <c r="B8" s="3">
        <v>-101</v>
      </c>
      <c r="D8" s="9">
        <f t="shared" si="0"/>
        <v>-101</v>
      </c>
      <c r="F8" s="12">
        <f t="shared" si="1"/>
        <v>-101</v>
      </c>
      <c r="H8" s="65"/>
      <c r="I8" s="66" t="s">
        <v>104</v>
      </c>
      <c r="J8" s="57"/>
      <c r="K8" s="57"/>
      <c r="L8" s="57"/>
      <c r="M8" s="57"/>
      <c r="N8" s="57"/>
      <c r="O8" s="57"/>
      <c r="P8" s="67"/>
    </row>
    <row r="9" spans="2:16" x14ac:dyDescent="0.3">
      <c r="B9" s="3">
        <v>98.2</v>
      </c>
      <c r="D9" s="9">
        <f t="shared" si="0"/>
        <v>98.2</v>
      </c>
      <c r="F9" s="12">
        <f t="shared" si="1"/>
        <v>98.2</v>
      </c>
      <c r="H9" s="65"/>
      <c r="I9" s="66" t="s">
        <v>105</v>
      </c>
      <c r="J9" s="57"/>
      <c r="K9" s="57"/>
      <c r="L9" s="57"/>
      <c r="M9" s="57"/>
      <c r="N9" s="57"/>
      <c r="O9" s="57"/>
      <c r="P9" s="67"/>
    </row>
    <row r="10" spans="2:16" x14ac:dyDescent="0.3">
      <c r="B10" s="3">
        <v>20</v>
      </c>
      <c r="D10" s="9">
        <f t="shared" si="0"/>
        <v>20</v>
      </c>
      <c r="F10" s="12">
        <f t="shared" si="1"/>
        <v>20</v>
      </c>
      <c r="H10" s="65"/>
      <c r="I10" s="68" t="s">
        <v>106</v>
      </c>
      <c r="J10" s="57"/>
      <c r="K10" s="57"/>
      <c r="L10" s="57"/>
      <c r="M10" s="57"/>
      <c r="N10" s="57"/>
      <c r="O10" s="57"/>
      <c r="P10" s="67"/>
    </row>
    <row r="11" spans="2:16" x14ac:dyDescent="0.3">
      <c r="H11" s="65"/>
      <c r="I11" s="66" t="s">
        <v>107</v>
      </c>
      <c r="J11" s="57"/>
      <c r="K11" s="57"/>
      <c r="L11" s="57"/>
      <c r="M11" s="57"/>
      <c r="N11" s="57"/>
      <c r="O11" s="57"/>
      <c r="P11" s="67"/>
    </row>
    <row r="12" spans="2:16" x14ac:dyDescent="0.3">
      <c r="H12" s="65"/>
      <c r="I12" s="66" t="s">
        <v>108</v>
      </c>
      <c r="J12" s="57"/>
      <c r="K12" s="57"/>
      <c r="L12" s="57"/>
      <c r="M12" s="57"/>
      <c r="N12" s="57"/>
      <c r="O12" s="57"/>
      <c r="P12" s="67"/>
    </row>
    <row r="13" spans="2:16" x14ac:dyDescent="0.3">
      <c r="H13" s="65"/>
      <c r="I13" s="66" t="s">
        <v>109</v>
      </c>
      <c r="J13" s="57"/>
      <c r="K13" s="57"/>
      <c r="L13" s="57"/>
      <c r="M13" s="57"/>
      <c r="N13" s="57"/>
      <c r="O13" s="57"/>
      <c r="P13" s="67"/>
    </row>
    <row r="14" spans="2:16" x14ac:dyDescent="0.3">
      <c r="H14" s="65"/>
      <c r="I14" s="66" t="s">
        <v>110</v>
      </c>
      <c r="J14" s="57"/>
      <c r="K14" s="57"/>
      <c r="L14" s="57"/>
      <c r="M14" s="57"/>
      <c r="N14" s="57"/>
      <c r="O14" s="57"/>
      <c r="P14" s="67"/>
    </row>
    <row r="15" spans="2:16" x14ac:dyDescent="0.3">
      <c r="H15" s="69"/>
      <c r="I15" s="70"/>
      <c r="J15" s="70"/>
      <c r="K15" s="70"/>
      <c r="L15" s="70"/>
      <c r="M15" s="70"/>
      <c r="N15" s="70"/>
      <c r="O15" s="70"/>
      <c r="P15" s="71"/>
    </row>
    <row r="18" spans="9:9" x14ac:dyDescent="0.3">
      <c r="I18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8035-4530-40D8-AF1F-29AAEAB05ADC}">
  <sheetPr>
    <tabColor rgb="FFFF0000"/>
  </sheetPr>
  <dimension ref="B2:P18"/>
  <sheetViews>
    <sheetView zoomScale="190" zoomScaleNormal="190" workbookViewId="0">
      <selection activeCell="B4" sqref="B4"/>
    </sheetView>
  </sheetViews>
  <sheetFormatPr defaultRowHeight="14.4" x14ac:dyDescent="0.3"/>
  <cols>
    <col min="1" max="1" width="5" customWidth="1"/>
    <col min="2" max="2" width="10.88671875" customWidth="1"/>
    <col min="3" max="3" width="5" customWidth="1"/>
    <col min="4" max="4" width="10.88671875" customWidth="1"/>
    <col min="5" max="5" width="5" customWidth="1"/>
    <col min="6" max="6" width="10.88671875" customWidth="1"/>
    <col min="8" max="8" width="3.88671875" customWidth="1"/>
  </cols>
  <sheetData>
    <row r="2" spans="2:16" x14ac:dyDescent="0.3">
      <c r="B2" s="11" t="s">
        <v>15</v>
      </c>
      <c r="D2" s="11" t="s">
        <v>16</v>
      </c>
      <c r="F2" s="11" t="s">
        <v>17</v>
      </c>
      <c r="H2" s="61"/>
      <c r="I2" s="62" t="s">
        <v>99</v>
      </c>
      <c r="J2" s="63"/>
      <c r="K2" s="63"/>
      <c r="L2" s="63"/>
      <c r="M2" s="63"/>
      <c r="N2" s="63"/>
      <c r="O2" s="63"/>
      <c r="P2" s="64"/>
    </row>
    <row r="3" spans="2:16" x14ac:dyDescent="0.3">
      <c r="B3" s="1" t="s">
        <v>1</v>
      </c>
      <c r="D3" s="1" t="s">
        <v>1</v>
      </c>
      <c r="F3" s="1" t="s">
        <v>1</v>
      </c>
      <c r="H3" s="65"/>
      <c r="I3" s="66" t="s">
        <v>100</v>
      </c>
      <c r="J3" s="57"/>
      <c r="K3" s="57"/>
      <c r="L3" s="57"/>
      <c r="M3" s="57"/>
      <c r="N3" s="57"/>
      <c r="O3" s="57"/>
      <c r="P3" s="67"/>
    </row>
    <row r="4" spans="2:16" x14ac:dyDescent="0.3">
      <c r="B4" s="3">
        <v>45</v>
      </c>
      <c r="D4" s="9">
        <f t="shared" ref="D4:D10" si="0">B4</f>
        <v>45</v>
      </c>
      <c r="F4" s="12">
        <f t="shared" ref="F4:F10" si="1">D4</f>
        <v>45</v>
      </c>
      <c r="H4" s="65"/>
      <c r="I4" s="66" t="s">
        <v>111</v>
      </c>
      <c r="J4" s="57"/>
      <c r="K4" s="57"/>
      <c r="L4" s="57"/>
      <c r="M4" s="57"/>
      <c r="N4" s="57"/>
      <c r="O4" s="57"/>
      <c r="P4" s="67"/>
    </row>
    <row r="5" spans="2:16" x14ac:dyDescent="0.3">
      <c r="B5" s="3">
        <v>0</v>
      </c>
      <c r="D5" s="9">
        <f t="shared" si="0"/>
        <v>0</v>
      </c>
      <c r="F5" s="12">
        <f t="shared" si="1"/>
        <v>0</v>
      </c>
      <c r="H5" s="65"/>
      <c r="I5" s="68" t="s">
        <v>101</v>
      </c>
      <c r="J5" s="57"/>
      <c r="K5" s="57"/>
      <c r="L5" s="57"/>
      <c r="M5" s="57"/>
      <c r="N5" s="57"/>
      <c r="O5" s="57"/>
      <c r="P5" s="67"/>
    </row>
    <row r="6" spans="2:16" x14ac:dyDescent="0.3">
      <c r="B6" s="3">
        <v>78.989999999999995</v>
      </c>
      <c r="D6" s="18">
        <f t="shared" si="0"/>
        <v>78.989999999999995</v>
      </c>
      <c r="F6" s="12">
        <f t="shared" si="1"/>
        <v>78.989999999999995</v>
      </c>
      <c r="H6" s="65"/>
      <c r="I6" s="66" t="s">
        <v>102</v>
      </c>
      <c r="J6" s="57"/>
      <c r="K6" s="57"/>
      <c r="L6" s="57"/>
      <c r="M6" s="57"/>
      <c r="N6" s="57"/>
      <c r="O6" s="57"/>
      <c r="P6" s="67"/>
    </row>
    <row r="7" spans="2:16" x14ac:dyDescent="0.3">
      <c r="B7" s="3">
        <v>100</v>
      </c>
      <c r="D7" s="9">
        <f t="shared" si="0"/>
        <v>100</v>
      </c>
      <c r="F7" s="12">
        <f t="shared" si="1"/>
        <v>100</v>
      </c>
      <c r="H7" s="65"/>
      <c r="I7" s="66" t="s">
        <v>103</v>
      </c>
      <c r="J7" s="57"/>
      <c r="K7" s="57"/>
      <c r="L7" s="57"/>
      <c r="M7" s="57"/>
      <c r="N7" s="57"/>
      <c r="O7" s="57"/>
      <c r="P7" s="67"/>
    </row>
    <row r="8" spans="2:16" x14ac:dyDescent="0.3">
      <c r="B8" s="3">
        <v>-101</v>
      </c>
      <c r="D8" s="9">
        <f t="shared" si="0"/>
        <v>-101</v>
      </c>
      <c r="F8" s="12">
        <f t="shared" si="1"/>
        <v>-101</v>
      </c>
      <c r="H8" s="65"/>
      <c r="I8" s="66" t="s">
        <v>104</v>
      </c>
      <c r="J8" s="57"/>
      <c r="K8" s="57"/>
      <c r="L8" s="57"/>
      <c r="M8" s="57"/>
      <c r="N8" s="57"/>
      <c r="O8" s="57"/>
      <c r="P8" s="67"/>
    </row>
    <row r="9" spans="2:16" x14ac:dyDescent="0.3">
      <c r="B9" s="3">
        <v>98.2</v>
      </c>
      <c r="D9" s="9">
        <f t="shared" si="0"/>
        <v>98.2</v>
      </c>
      <c r="F9" s="12">
        <f t="shared" si="1"/>
        <v>98.2</v>
      </c>
      <c r="H9" s="65"/>
      <c r="I9" s="66" t="s">
        <v>105</v>
      </c>
      <c r="J9" s="57"/>
      <c r="K9" s="57"/>
      <c r="L9" s="57"/>
      <c r="M9" s="57"/>
      <c r="N9" s="57"/>
      <c r="O9" s="57"/>
      <c r="P9" s="67"/>
    </row>
    <row r="10" spans="2:16" x14ac:dyDescent="0.3">
      <c r="B10" s="3">
        <v>20</v>
      </c>
      <c r="D10" s="9">
        <f t="shared" si="0"/>
        <v>20</v>
      </c>
      <c r="F10" s="12">
        <f t="shared" si="1"/>
        <v>20</v>
      </c>
      <c r="H10" s="65"/>
      <c r="I10" s="68" t="s">
        <v>106</v>
      </c>
      <c r="J10" s="57"/>
      <c r="K10" s="57"/>
      <c r="L10" s="57"/>
      <c r="M10" s="57"/>
      <c r="N10" s="57"/>
      <c r="O10" s="57"/>
      <c r="P10" s="67"/>
    </row>
    <row r="11" spans="2:16" x14ac:dyDescent="0.3">
      <c r="H11" s="65"/>
      <c r="I11" s="66" t="s">
        <v>107</v>
      </c>
      <c r="J11" s="57"/>
      <c r="K11" s="57"/>
      <c r="L11" s="57"/>
      <c r="M11" s="57"/>
      <c r="N11" s="57"/>
      <c r="O11" s="57"/>
      <c r="P11" s="67"/>
    </row>
    <row r="12" spans="2:16" x14ac:dyDescent="0.3">
      <c r="H12" s="65"/>
      <c r="I12" s="66" t="s">
        <v>108</v>
      </c>
      <c r="J12" s="57"/>
      <c r="K12" s="57"/>
      <c r="L12" s="57"/>
      <c r="M12" s="57"/>
      <c r="N12" s="57"/>
      <c r="O12" s="57"/>
      <c r="P12" s="67"/>
    </row>
    <row r="13" spans="2:16" x14ac:dyDescent="0.3">
      <c r="H13" s="65"/>
      <c r="I13" s="66" t="s">
        <v>109</v>
      </c>
      <c r="J13" s="57"/>
      <c r="K13" s="57"/>
      <c r="L13" s="57"/>
      <c r="M13" s="57"/>
      <c r="N13" s="57"/>
      <c r="O13" s="57"/>
      <c r="P13" s="67"/>
    </row>
    <row r="14" spans="2:16" x14ac:dyDescent="0.3">
      <c r="H14" s="65"/>
      <c r="I14" s="66" t="s">
        <v>110</v>
      </c>
      <c r="J14" s="57"/>
      <c r="K14" s="57"/>
      <c r="L14" s="57"/>
      <c r="M14" s="57"/>
      <c r="N14" s="57"/>
      <c r="O14" s="57"/>
      <c r="P14" s="67"/>
    </row>
    <row r="15" spans="2:16" x14ac:dyDescent="0.3">
      <c r="H15" s="69"/>
      <c r="I15" s="70"/>
      <c r="J15" s="70"/>
      <c r="K15" s="70"/>
      <c r="L15" s="70"/>
      <c r="M15" s="70"/>
      <c r="N15" s="70"/>
      <c r="O15" s="70"/>
      <c r="P15" s="71"/>
    </row>
    <row r="18" spans="9:9" x14ac:dyDescent="0.3">
      <c r="I18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CE05-605D-4C37-90F6-0BF9660221E9}">
  <sheetPr>
    <tabColor rgb="FF0000FF"/>
  </sheetPr>
  <dimension ref="A1:L17"/>
  <sheetViews>
    <sheetView zoomScale="160" zoomScaleNormal="160" workbookViewId="0">
      <selection activeCell="H6" sqref="H6"/>
    </sheetView>
  </sheetViews>
  <sheetFormatPr defaultRowHeight="14.4" x14ac:dyDescent="0.3"/>
  <cols>
    <col min="7" max="7" width="13.33203125" customWidth="1"/>
  </cols>
  <sheetData>
    <row r="1" spans="1:12" x14ac:dyDescent="0.3">
      <c r="A1" s="73" t="s">
        <v>18</v>
      </c>
      <c r="B1" s="74">
        <v>9.5000000000000001E-2</v>
      </c>
      <c r="D1" t="str">
        <f t="shared" ref="D1:D2" si="0">B1*100&amp;" pennies for every $1."</f>
        <v>9.5 pennies for every $1.</v>
      </c>
      <c r="G1" t="s">
        <v>24</v>
      </c>
    </row>
    <row r="2" spans="1:12" x14ac:dyDescent="0.3">
      <c r="A2" s="14" t="s">
        <v>18</v>
      </c>
      <c r="B2" s="15">
        <v>9.5000000000000001E-2</v>
      </c>
      <c r="D2" t="str">
        <f t="shared" si="0"/>
        <v>9.5 pennies for every $1.</v>
      </c>
    </row>
    <row r="3" spans="1:12" x14ac:dyDescent="0.3">
      <c r="B3" s="92">
        <f>9.5/100</f>
        <v>9.5000000000000001E-2</v>
      </c>
      <c r="G3" s="14" t="s">
        <v>18</v>
      </c>
      <c r="H3" s="95">
        <v>1.4500000000000001E-2</v>
      </c>
    </row>
    <row r="4" spans="1:12" x14ac:dyDescent="0.3">
      <c r="G4" s="2" t="s">
        <v>27</v>
      </c>
      <c r="H4" s="3">
        <v>1</v>
      </c>
      <c r="J4" t="s">
        <v>29</v>
      </c>
    </row>
    <row r="5" spans="1:12" x14ac:dyDescent="0.3">
      <c r="A5" s="14" t="s">
        <v>18</v>
      </c>
      <c r="B5" s="15">
        <v>0.03</v>
      </c>
      <c r="D5" t="str">
        <f t="shared" ref="D5:D6" si="1">B5*100&amp;" pennies for every $1."</f>
        <v>3 pennies for every $1.</v>
      </c>
      <c r="G5" s="2" t="s">
        <v>28</v>
      </c>
      <c r="H5" s="5">
        <f>H4*H3</f>
        <v>1.4500000000000001E-2</v>
      </c>
      <c r="J5" t="s">
        <v>112</v>
      </c>
    </row>
    <row r="6" spans="1:12" x14ac:dyDescent="0.3">
      <c r="A6" s="14" t="s">
        <v>18</v>
      </c>
      <c r="B6" s="3">
        <v>0.03</v>
      </c>
      <c r="D6" t="str">
        <f t="shared" si="1"/>
        <v>3 pennies for every $1.</v>
      </c>
      <c r="H6" s="93">
        <v>1.4500000000000001E-2</v>
      </c>
      <c r="J6" t="s">
        <v>113</v>
      </c>
    </row>
    <row r="8" spans="1:12" x14ac:dyDescent="0.3">
      <c r="A8" s="75" t="s">
        <v>19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3">
      <c r="A9" s="65" t="s">
        <v>25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67"/>
    </row>
    <row r="10" spans="1:12" x14ac:dyDescent="0.3">
      <c r="A10" s="65" t="s">
        <v>26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67"/>
    </row>
    <row r="11" spans="1:12" x14ac:dyDescent="0.3">
      <c r="A11" s="65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67"/>
    </row>
    <row r="12" spans="1:12" x14ac:dyDescent="0.3">
      <c r="A12" s="65"/>
      <c r="B12" s="76" t="s">
        <v>21</v>
      </c>
      <c r="C12" s="57"/>
      <c r="D12" s="57"/>
      <c r="E12" s="57"/>
      <c r="F12" s="57"/>
      <c r="G12" s="57"/>
      <c r="H12" s="57"/>
      <c r="I12" s="57"/>
      <c r="J12" s="57"/>
      <c r="K12" s="57"/>
      <c r="L12" s="67"/>
    </row>
    <row r="13" spans="1:12" x14ac:dyDescent="0.3">
      <c r="A13" s="65"/>
      <c r="B13" s="76" t="s">
        <v>20</v>
      </c>
      <c r="C13" s="57"/>
      <c r="D13" s="57"/>
      <c r="E13" s="57"/>
      <c r="F13" s="57"/>
      <c r="G13" s="57"/>
      <c r="H13" s="57"/>
      <c r="I13" s="57"/>
      <c r="J13" s="57"/>
      <c r="K13" s="57"/>
      <c r="L13" s="67"/>
    </row>
    <row r="14" spans="1:12" x14ac:dyDescent="0.3">
      <c r="A14" s="65"/>
      <c r="B14" s="76" t="s">
        <v>22</v>
      </c>
      <c r="C14" s="57"/>
      <c r="D14" s="57"/>
      <c r="E14" s="57"/>
      <c r="F14" s="57"/>
      <c r="G14" s="57"/>
      <c r="H14" s="57"/>
      <c r="I14" s="57"/>
      <c r="J14" s="57"/>
      <c r="K14" s="57"/>
      <c r="L14" s="67"/>
    </row>
    <row r="15" spans="1:12" x14ac:dyDescent="0.3">
      <c r="A15" s="65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67"/>
    </row>
    <row r="16" spans="1:12" x14ac:dyDescent="0.3">
      <c r="A16" s="65"/>
      <c r="B16" s="76" t="s">
        <v>23</v>
      </c>
      <c r="C16" s="57"/>
      <c r="D16" s="57"/>
      <c r="E16" s="57"/>
      <c r="F16" s="57"/>
      <c r="G16" s="57"/>
      <c r="H16" s="57"/>
      <c r="I16" s="57"/>
      <c r="J16" s="57"/>
      <c r="K16" s="57"/>
      <c r="L16" s="67"/>
    </row>
    <row r="17" spans="1:12" x14ac:dyDescent="0.3">
      <c r="A17" s="69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1"/>
    </row>
  </sheetData>
  <conditionalFormatting sqref="J5:J6">
    <cfRule type="expression" dxfId="1" priority="1">
      <formula>ISBLANK($H$5)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531E-B677-46EB-A44C-EC223564A665}">
  <sheetPr>
    <tabColor rgb="FFFF0000"/>
  </sheetPr>
  <dimension ref="A1:L17"/>
  <sheetViews>
    <sheetView zoomScale="175" zoomScaleNormal="175" workbookViewId="0">
      <selection activeCell="B1" sqref="B1"/>
    </sheetView>
  </sheetViews>
  <sheetFormatPr defaultRowHeight="14.4" x14ac:dyDescent="0.3"/>
  <cols>
    <col min="7" max="7" width="13.33203125" customWidth="1"/>
  </cols>
  <sheetData>
    <row r="1" spans="1:12" x14ac:dyDescent="0.3">
      <c r="A1" s="73" t="s">
        <v>18</v>
      </c>
      <c r="B1" s="74">
        <v>9.5000000000000001E-2</v>
      </c>
      <c r="D1" t="str">
        <f t="shared" ref="D1:D2" si="0">B1*100&amp;" pennies for every $1."</f>
        <v>9.5 pennies for every $1.</v>
      </c>
      <c r="G1" t="s">
        <v>24</v>
      </c>
    </row>
    <row r="2" spans="1:12" x14ac:dyDescent="0.3">
      <c r="A2" s="14" t="s">
        <v>18</v>
      </c>
      <c r="B2" s="15">
        <v>9.5000000000000001E-2</v>
      </c>
      <c r="D2" t="str">
        <f t="shared" si="0"/>
        <v>9.5 pennies for every $1.</v>
      </c>
    </row>
    <row r="3" spans="1:12" x14ac:dyDescent="0.3">
      <c r="B3" s="92">
        <f>9.5/100</f>
        <v>9.5000000000000001E-2</v>
      </c>
      <c r="G3" s="14" t="s">
        <v>18</v>
      </c>
      <c r="H3" s="15">
        <v>1.4500000000000001E-2</v>
      </c>
    </row>
    <row r="4" spans="1:12" x14ac:dyDescent="0.3">
      <c r="G4" s="2" t="s">
        <v>27</v>
      </c>
      <c r="H4" s="3">
        <v>1</v>
      </c>
      <c r="J4" t="s">
        <v>29</v>
      </c>
    </row>
    <row r="5" spans="1:12" x14ac:dyDescent="0.3">
      <c r="A5" s="14" t="s">
        <v>18</v>
      </c>
      <c r="B5" s="15">
        <v>0.03</v>
      </c>
      <c r="D5" t="str">
        <f t="shared" ref="D5:D6" si="1">B5*100&amp;" pennies for every $1."</f>
        <v>3 pennies for every $1.</v>
      </c>
      <c r="G5" s="2" t="s">
        <v>28</v>
      </c>
      <c r="H5" s="5">
        <f>H4*H3</f>
        <v>1.4500000000000001E-2</v>
      </c>
      <c r="J5" t="s">
        <v>112</v>
      </c>
    </row>
    <row r="6" spans="1:12" x14ac:dyDescent="0.3">
      <c r="A6" s="14" t="s">
        <v>18</v>
      </c>
      <c r="B6" s="3">
        <v>0.03</v>
      </c>
      <c r="D6" t="str">
        <f t="shared" si="1"/>
        <v>3 pennies for every $1.</v>
      </c>
      <c r="H6" s="93">
        <v>1.4500000000000001E-2</v>
      </c>
      <c r="J6" t="s">
        <v>113</v>
      </c>
    </row>
    <row r="8" spans="1:12" x14ac:dyDescent="0.3">
      <c r="A8" s="75" t="s">
        <v>19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3">
      <c r="A9" s="65" t="s">
        <v>25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67"/>
    </row>
    <row r="10" spans="1:12" x14ac:dyDescent="0.3">
      <c r="A10" s="65" t="s">
        <v>26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67"/>
    </row>
    <row r="11" spans="1:12" x14ac:dyDescent="0.3">
      <c r="A11" s="65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67"/>
    </row>
    <row r="12" spans="1:12" x14ac:dyDescent="0.3">
      <c r="A12" s="65"/>
      <c r="B12" s="76" t="s">
        <v>21</v>
      </c>
      <c r="C12" s="57"/>
      <c r="D12" s="57"/>
      <c r="E12" s="57"/>
      <c r="F12" s="57"/>
      <c r="G12" s="57"/>
      <c r="H12" s="57"/>
      <c r="I12" s="57"/>
      <c r="J12" s="57"/>
      <c r="K12" s="57"/>
      <c r="L12" s="67"/>
    </row>
    <row r="13" spans="1:12" x14ac:dyDescent="0.3">
      <c r="A13" s="65"/>
      <c r="B13" s="76" t="s">
        <v>20</v>
      </c>
      <c r="C13" s="57"/>
      <c r="D13" s="57"/>
      <c r="E13" s="57"/>
      <c r="F13" s="57"/>
      <c r="G13" s="57"/>
      <c r="H13" s="57"/>
      <c r="I13" s="57"/>
      <c r="J13" s="57"/>
      <c r="K13" s="57"/>
      <c r="L13" s="67"/>
    </row>
    <row r="14" spans="1:12" x14ac:dyDescent="0.3">
      <c r="A14" s="65"/>
      <c r="B14" s="76" t="s">
        <v>22</v>
      </c>
      <c r="C14" s="57"/>
      <c r="D14" s="57"/>
      <c r="E14" s="57"/>
      <c r="F14" s="57"/>
      <c r="G14" s="57"/>
      <c r="H14" s="57"/>
      <c r="I14" s="57"/>
      <c r="J14" s="57"/>
      <c r="K14" s="57"/>
      <c r="L14" s="67"/>
    </row>
    <row r="15" spans="1:12" x14ac:dyDescent="0.3">
      <c r="A15" s="65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67"/>
    </row>
    <row r="16" spans="1:12" x14ac:dyDescent="0.3">
      <c r="A16" s="65"/>
      <c r="B16" s="76" t="s">
        <v>23</v>
      </c>
      <c r="C16" s="57"/>
      <c r="D16" s="57"/>
      <c r="E16" s="57"/>
      <c r="F16" s="57"/>
      <c r="G16" s="57"/>
      <c r="H16" s="57"/>
      <c r="I16" s="57"/>
      <c r="J16" s="57"/>
      <c r="K16" s="57"/>
      <c r="L16" s="67"/>
    </row>
    <row r="17" spans="1:12" x14ac:dyDescent="0.3">
      <c r="A17" s="69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1"/>
    </row>
  </sheetData>
  <conditionalFormatting sqref="J5:J6">
    <cfRule type="expression" dxfId="0" priority="1">
      <formula>ISBLANK($H$5)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323E-BFDC-48AD-BA1E-C5B4D13753C7}">
  <sheetPr>
    <tabColor rgb="FF0000FF"/>
  </sheetPr>
  <dimension ref="B1:G21"/>
  <sheetViews>
    <sheetView showGridLines="0" topLeftCell="A9" zoomScale="175" zoomScaleNormal="175" workbookViewId="0">
      <selection activeCell="E9" sqref="E9"/>
    </sheetView>
  </sheetViews>
  <sheetFormatPr defaultRowHeight="14.4" x14ac:dyDescent="0.3"/>
  <cols>
    <col min="2" max="2" width="12.44140625" customWidth="1"/>
    <col min="3" max="3" width="16.44140625" customWidth="1"/>
    <col min="4" max="4" width="13.44140625" customWidth="1"/>
    <col min="5" max="5" width="17.6640625" customWidth="1"/>
    <col min="6" max="6" width="18.33203125" customWidth="1"/>
    <col min="7" max="7" width="17.6640625" customWidth="1"/>
    <col min="9" max="9" width="11.88671875" customWidth="1"/>
  </cols>
  <sheetData>
    <row r="1" spans="2:7" ht="15" thickBot="1" x14ac:dyDescent="0.35"/>
    <row r="2" spans="2:7" x14ac:dyDescent="0.3">
      <c r="B2" s="32" t="s">
        <v>30</v>
      </c>
      <c r="C2" s="33"/>
      <c r="D2" s="33"/>
      <c r="E2" s="33"/>
      <c r="F2" s="33"/>
      <c r="G2" s="77"/>
    </row>
    <row r="3" spans="2:7" x14ac:dyDescent="0.3">
      <c r="B3" s="34" t="s">
        <v>31</v>
      </c>
      <c r="C3" s="35"/>
      <c r="D3" s="35"/>
      <c r="E3" s="35"/>
      <c r="F3" s="35"/>
      <c r="G3" s="78"/>
    </row>
    <row r="4" spans="2:7" x14ac:dyDescent="0.3">
      <c r="B4" s="36" t="s">
        <v>32</v>
      </c>
      <c r="C4" s="35"/>
      <c r="D4" s="35"/>
      <c r="E4" s="35"/>
      <c r="F4" s="35"/>
      <c r="G4" s="78"/>
    </row>
    <row r="5" spans="2:7" x14ac:dyDescent="0.3">
      <c r="B5" s="37" t="s">
        <v>33</v>
      </c>
      <c r="C5" s="35"/>
      <c r="D5" s="35"/>
      <c r="E5" s="35"/>
      <c r="F5" s="35"/>
      <c r="G5" s="78"/>
    </row>
    <row r="6" spans="2:7" x14ac:dyDescent="0.3">
      <c r="B6" s="37" t="s">
        <v>34</v>
      </c>
      <c r="C6" s="35"/>
      <c r="D6" s="35"/>
      <c r="E6" s="35"/>
      <c r="F6" s="35"/>
      <c r="G6" s="78"/>
    </row>
    <row r="7" spans="2:7" x14ac:dyDescent="0.3">
      <c r="B7" s="36"/>
      <c r="C7" s="35"/>
      <c r="D7" s="35"/>
      <c r="E7" s="35"/>
      <c r="F7" s="35"/>
      <c r="G7" s="78"/>
    </row>
    <row r="8" spans="2:7" ht="21" x14ac:dyDescent="0.4">
      <c r="B8" s="36">
        <v>52.727624999999996</v>
      </c>
      <c r="C8" s="38" t="s">
        <v>37</v>
      </c>
      <c r="D8" s="38" t="s">
        <v>38</v>
      </c>
      <c r="E8" s="38" t="s">
        <v>119</v>
      </c>
      <c r="F8" s="35">
        <v>52.73</v>
      </c>
      <c r="G8" s="78"/>
    </row>
    <row r="9" spans="2:7" ht="21" x14ac:dyDescent="0.4">
      <c r="B9" s="36">
        <v>52.724584</v>
      </c>
      <c r="C9" s="38" t="s">
        <v>35</v>
      </c>
      <c r="D9" s="38" t="s">
        <v>36</v>
      </c>
      <c r="E9" s="38" t="s">
        <v>120</v>
      </c>
      <c r="F9" s="35">
        <v>52.72</v>
      </c>
      <c r="G9" s="78"/>
    </row>
    <row r="10" spans="2:7" x14ac:dyDescent="0.3">
      <c r="B10" s="36"/>
      <c r="C10" s="35"/>
      <c r="D10" s="35"/>
      <c r="E10" s="35"/>
      <c r="F10" s="35"/>
      <c r="G10" s="78"/>
    </row>
    <row r="11" spans="2:7" ht="15" thickBot="1" x14ac:dyDescent="0.35">
      <c r="B11" s="39" t="s">
        <v>39</v>
      </c>
      <c r="C11" s="40"/>
      <c r="D11" s="40"/>
      <c r="E11" s="40"/>
      <c r="F11" s="40"/>
      <c r="G11" s="79"/>
    </row>
    <row r="13" spans="2:7" ht="43.2" x14ac:dyDescent="0.3">
      <c r="B13" s="28" t="s">
        <v>42</v>
      </c>
      <c r="C13" s="46"/>
      <c r="D13" s="47"/>
      <c r="E13" s="44" t="s">
        <v>74</v>
      </c>
      <c r="F13" s="44" t="s">
        <v>75</v>
      </c>
      <c r="G13" s="44" t="s">
        <v>76</v>
      </c>
    </row>
    <row r="14" spans="2:7" x14ac:dyDescent="0.3">
      <c r="B14" s="2" t="s">
        <v>0</v>
      </c>
      <c r="C14" s="2" t="s">
        <v>18</v>
      </c>
      <c r="D14" s="2" t="s">
        <v>43</v>
      </c>
      <c r="E14" s="43" t="s">
        <v>44</v>
      </c>
      <c r="F14" s="43"/>
      <c r="G14" s="43" t="s">
        <v>44</v>
      </c>
    </row>
    <row r="15" spans="2:7" x14ac:dyDescent="0.3">
      <c r="B15" s="3" t="s">
        <v>45</v>
      </c>
      <c r="C15" s="3">
        <v>7.6499999999999999E-2</v>
      </c>
      <c r="D15" s="3">
        <v>689.25</v>
      </c>
      <c r="E15" s="45">
        <f>D15*C15</f>
        <v>52.727624999999996</v>
      </c>
      <c r="F15" s="41">
        <f>D15*C15</f>
        <v>52.727624999999996</v>
      </c>
      <c r="G15" s="41">
        <f>ROUND(D15*C15,2)</f>
        <v>52.73</v>
      </c>
    </row>
    <row r="16" spans="2:7" x14ac:dyDescent="0.3">
      <c r="E16" s="6" t="str">
        <f t="shared" ref="E16:G16" ca="1" si="0">IF(_xlfn.ISFORMULA(E15),"Formula in above cell is: "&amp;_xlfn.FORMULATEXT(E15),"")</f>
        <v>Formula in above cell is: =D15*C15</v>
      </c>
      <c r="F16" s="6" t="str">
        <f t="shared" ca="1" si="0"/>
        <v>Formula in above cell is: =D15*C15</v>
      </c>
      <c r="G16" s="6" t="str">
        <f t="shared" ca="1" si="0"/>
        <v>Formula in above cell is: =ROUND(D15*C15,2)</v>
      </c>
    </row>
    <row r="18" spans="5:5" x14ac:dyDescent="0.3">
      <c r="E18" s="13" t="s">
        <v>77</v>
      </c>
    </row>
    <row r="19" spans="5:5" x14ac:dyDescent="0.3">
      <c r="E19" t="s">
        <v>49</v>
      </c>
    </row>
    <row r="20" spans="5:5" x14ac:dyDescent="0.3">
      <c r="E20" t="s">
        <v>50</v>
      </c>
    </row>
    <row r="21" spans="5:5" x14ac:dyDescent="0.3">
      <c r="E21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EACA-801D-4DFC-8461-6E400E7985E7}">
  <sheetPr>
    <tabColor rgb="FFFF0000"/>
  </sheetPr>
  <dimension ref="B1:G21"/>
  <sheetViews>
    <sheetView showGridLines="0" zoomScale="115" zoomScaleNormal="115" workbookViewId="0">
      <selection activeCell="F15" sqref="F15"/>
    </sheetView>
  </sheetViews>
  <sheetFormatPr defaultRowHeight="14.4" x14ac:dyDescent="0.3"/>
  <cols>
    <col min="2" max="2" width="12.44140625" customWidth="1"/>
    <col min="3" max="3" width="16.44140625" customWidth="1"/>
    <col min="4" max="4" width="13.44140625" customWidth="1"/>
    <col min="5" max="5" width="17.6640625" customWidth="1"/>
    <col min="6" max="6" width="18.33203125" customWidth="1"/>
    <col min="7" max="7" width="17.6640625" customWidth="1"/>
    <col min="9" max="9" width="11.88671875" customWidth="1"/>
  </cols>
  <sheetData>
    <row r="1" spans="2:7" ht="15" thickBot="1" x14ac:dyDescent="0.35"/>
    <row r="2" spans="2:7" x14ac:dyDescent="0.3">
      <c r="B2" s="32" t="s">
        <v>30</v>
      </c>
      <c r="C2" s="33"/>
      <c r="D2" s="33"/>
      <c r="E2" s="33"/>
      <c r="F2" s="33"/>
      <c r="G2" s="77"/>
    </row>
    <row r="3" spans="2:7" x14ac:dyDescent="0.3">
      <c r="B3" s="34" t="s">
        <v>31</v>
      </c>
      <c r="C3" s="35"/>
      <c r="D3" s="35"/>
      <c r="E3" s="35"/>
      <c r="F3" s="35"/>
      <c r="G3" s="78"/>
    </row>
    <row r="4" spans="2:7" x14ac:dyDescent="0.3">
      <c r="B4" s="36" t="s">
        <v>32</v>
      </c>
      <c r="C4" s="35"/>
      <c r="D4" s="35"/>
      <c r="E4" s="35"/>
      <c r="F4" s="35"/>
      <c r="G4" s="78"/>
    </row>
    <row r="5" spans="2:7" x14ac:dyDescent="0.3">
      <c r="B5" s="37" t="s">
        <v>33</v>
      </c>
      <c r="C5" s="35"/>
      <c r="D5" s="35"/>
      <c r="E5" s="35"/>
      <c r="F5" s="35"/>
      <c r="G5" s="78"/>
    </row>
    <row r="6" spans="2:7" x14ac:dyDescent="0.3">
      <c r="B6" s="37" t="s">
        <v>34</v>
      </c>
      <c r="C6" s="35"/>
      <c r="D6" s="35"/>
      <c r="E6" s="35"/>
      <c r="F6" s="35"/>
      <c r="G6" s="78"/>
    </row>
    <row r="7" spans="2:7" x14ac:dyDescent="0.3">
      <c r="B7" s="36"/>
      <c r="C7" s="35"/>
      <c r="D7" s="35"/>
      <c r="E7" s="35"/>
      <c r="F7" s="35"/>
      <c r="G7" s="78"/>
    </row>
    <row r="8" spans="2:7" ht="21" x14ac:dyDescent="0.4">
      <c r="B8" s="36">
        <v>52.727624999999996</v>
      </c>
      <c r="C8" s="38" t="s">
        <v>37</v>
      </c>
      <c r="D8" s="38" t="s">
        <v>38</v>
      </c>
      <c r="E8" s="38" t="s">
        <v>119</v>
      </c>
      <c r="F8" s="35">
        <v>52.73</v>
      </c>
      <c r="G8" s="78"/>
    </row>
    <row r="9" spans="2:7" ht="21" x14ac:dyDescent="0.4">
      <c r="B9" s="36">
        <v>52.724584</v>
      </c>
      <c r="C9" s="38" t="s">
        <v>35</v>
      </c>
      <c r="D9" s="38" t="s">
        <v>36</v>
      </c>
      <c r="E9" s="38" t="s">
        <v>120</v>
      </c>
      <c r="F9" s="35">
        <v>52.72</v>
      </c>
      <c r="G9" s="78"/>
    </row>
    <row r="10" spans="2:7" x14ac:dyDescent="0.3">
      <c r="B10" s="36"/>
      <c r="C10" s="35"/>
      <c r="D10" s="35"/>
      <c r="E10" s="35"/>
      <c r="F10" s="35"/>
      <c r="G10" s="78"/>
    </row>
    <row r="11" spans="2:7" ht="15" thickBot="1" x14ac:dyDescent="0.35">
      <c r="B11" s="39" t="s">
        <v>39</v>
      </c>
      <c r="C11" s="40"/>
      <c r="D11" s="40"/>
      <c r="E11" s="40"/>
      <c r="F11" s="40"/>
      <c r="G11" s="79"/>
    </row>
    <row r="13" spans="2:7" ht="43.2" x14ac:dyDescent="0.3">
      <c r="B13" s="28" t="s">
        <v>42</v>
      </c>
      <c r="C13" s="46"/>
      <c r="D13" s="47"/>
      <c r="E13" s="44" t="s">
        <v>74</v>
      </c>
      <c r="F13" s="44" t="s">
        <v>75</v>
      </c>
      <c r="G13" s="44" t="s">
        <v>76</v>
      </c>
    </row>
    <row r="14" spans="2:7" x14ac:dyDescent="0.3">
      <c r="B14" s="2" t="s">
        <v>0</v>
      </c>
      <c r="C14" s="2" t="s">
        <v>18</v>
      </c>
      <c r="D14" s="2" t="s">
        <v>43</v>
      </c>
      <c r="E14" s="43" t="s">
        <v>44</v>
      </c>
      <c r="F14" s="43"/>
      <c r="G14" s="43" t="s">
        <v>44</v>
      </c>
    </row>
    <row r="15" spans="2:7" x14ac:dyDescent="0.3">
      <c r="B15" s="3" t="s">
        <v>45</v>
      </c>
      <c r="C15" s="3">
        <v>7.6499999999999999E-2</v>
      </c>
      <c r="D15" s="3">
        <v>689.25</v>
      </c>
      <c r="E15" s="45">
        <f>D15*C15</f>
        <v>52.727624999999996</v>
      </c>
      <c r="F15" s="41">
        <f>D15*C15</f>
        <v>52.727624999999996</v>
      </c>
      <c r="G15" s="41">
        <f>ROUND(D15*C15,2)</f>
        <v>52.73</v>
      </c>
    </row>
    <row r="16" spans="2:7" ht="57.6" x14ac:dyDescent="0.3">
      <c r="E16" s="6" t="str">
        <f t="shared" ref="E16:G16" ca="1" si="0">IF(_xlfn.ISFORMULA(E15),"Formula in above cell is: "&amp;_xlfn.FORMULATEXT(E15),"")</f>
        <v>Formula in above cell is: =D15*C15</v>
      </c>
      <c r="F16" s="6" t="str">
        <f t="shared" ca="1" si="0"/>
        <v>Formula in above cell is: =D15*C15</v>
      </c>
      <c r="G16" s="6" t="str">
        <f t="shared" ca="1" si="0"/>
        <v>Formula in above cell is: =ROUND(D15*C15,2)</v>
      </c>
    </row>
    <row r="18" spans="5:5" x14ac:dyDescent="0.3">
      <c r="E18" s="13" t="s">
        <v>77</v>
      </c>
    </row>
    <row r="19" spans="5:5" x14ac:dyDescent="0.3">
      <c r="E19" t="s">
        <v>49</v>
      </c>
    </row>
    <row r="20" spans="5:5" x14ac:dyDescent="0.3">
      <c r="E20" t="s">
        <v>50</v>
      </c>
    </row>
    <row r="21" spans="5:5" x14ac:dyDescent="0.3">
      <c r="E21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DEF46-42F0-43A4-B63C-D7E768B7821A}">
  <sheetPr>
    <tabColor rgb="FF0000FF"/>
  </sheetPr>
  <dimension ref="A1:H41"/>
  <sheetViews>
    <sheetView topLeftCell="A30" zoomScale="145" zoomScaleNormal="145" workbookViewId="0">
      <selection activeCell="B38" sqref="B38:B41"/>
    </sheetView>
  </sheetViews>
  <sheetFormatPr defaultRowHeight="14.4" x14ac:dyDescent="0.3"/>
  <cols>
    <col min="1" max="2" width="17.33203125" customWidth="1"/>
    <col min="3" max="3" width="18.88671875" customWidth="1"/>
    <col min="4" max="4" width="17.33203125" customWidth="1"/>
    <col min="5" max="5" width="7.33203125" customWidth="1"/>
    <col min="6" max="6" width="19.88671875" customWidth="1"/>
    <col min="8" max="8" width="11.88671875" customWidth="1"/>
  </cols>
  <sheetData>
    <row r="1" spans="1:8" x14ac:dyDescent="0.3">
      <c r="A1" s="72" t="s">
        <v>78</v>
      </c>
      <c r="B1" s="57"/>
      <c r="C1" s="57"/>
      <c r="D1" s="72" t="s">
        <v>67</v>
      </c>
      <c r="E1" s="57"/>
      <c r="F1" s="57"/>
      <c r="G1" s="57"/>
      <c r="H1" s="57"/>
    </row>
    <row r="2" spans="1:8" x14ac:dyDescent="0.3">
      <c r="A2" s="57" t="s">
        <v>64</v>
      </c>
      <c r="B2" s="57"/>
      <c r="C2" s="57"/>
      <c r="D2" s="57" t="s">
        <v>68</v>
      </c>
      <c r="E2" s="57"/>
      <c r="F2" s="57"/>
      <c r="G2" s="57"/>
      <c r="H2" s="57"/>
    </row>
    <row r="3" spans="1:8" x14ac:dyDescent="0.3">
      <c r="A3" s="57" t="s">
        <v>66</v>
      </c>
      <c r="B3" s="57"/>
      <c r="C3" s="57"/>
      <c r="D3" s="57"/>
      <c r="E3" s="57"/>
      <c r="F3" s="57"/>
      <c r="G3" s="57"/>
      <c r="H3" s="57"/>
    </row>
    <row r="4" spans="1:8" x14ac:dyDescent="0.3">
      <c r="A4" s="57" t="s">
        <v>65</v>
      </c>
      <c r="B4" s="57"/>
      <c r="C4" s="57"/>
      <c r="D4" s="57"/>
      <c r="E4" s="57"/>
      <c r="F4" s="57"/>
      <c r="G4" s="57"/>
      <c r="H4" s="57"/>
    </row>
    <row r="5" spans="1:8" x14ac:dyDescent="0.3">
      <c r="A5" s="57"/>
      <c r="B5" s="57"/>
      <c r="C5" s="57"/>
      <c r="D5" s="57"/>
      <c r="E5" s="57"/>
      <c r="F5" s="57"/>
      <c r="G5" s="57"/>
      <c r="H5" s="57"/>
    </row>
    <row r="6" spans="1:8" x14ac:dyDescent="0.3">
      <c r="A6" s="72" t="s">
        <v>48</v>
      </c>
      <c r="B6" s="57"/>
      <c r="C6" s="57"/>
      <c r="D6" s="80" t="s">
        <v>69</v>
      </c>
      <c r="E6" s="57"/>
      <c r="F6" s="57"/>
      <c r="G6" s="57"/>
      <c r="H6" s="57"/>
    </row>
    <row r="7" spans="1:8" x14ac:dyDescent="0.3">
      <c r="A7" s="57" t="s">
        <v>49</v>
      </c>
      <c r="B7" s="57"/>
      <c r="C7" s="57"/>
      <c r="D7" s="76" t="s">
        <v>40</v>
      </c>
      <c r="E7" s="57"/>
      <c r="F7" s="57"/>
      <c r="G7" s="57"/>
      <c r="H7" s="57"/>
    </row>
    <row r="8" spans="1:8" x14ac:dyDescent="0.3">
      <c r="A8" s="57" t="s">
        <v>50</v>
      </c>
      <c r="B8" s="57"/>
      <c r="C8" s="57"/>
      <c r="D8" s="76" t="s">
        <v>41</v>
      </c>
      <c r="E8" s="57"/>
      <c r="F8" s="57"/>
      <c r="G8" s="57"/>
      <c r="H8" s="57"/>
    </row>
    <row r="9" spans="1:8" x14ac:dyDescent="0.3">
      <c r="A9" s="57" t="s">
        <v>51</v>
      </c>
      <c r="B9" s="57"/>
      <c r="C9" s="57"/>
      <c r="D9" s="76" t="s">
        <v>73</v>
      </c>
      <c r="E9" s="57"/>
      <c r="F9" s="57"/>
      <c r="G9" s="57"/>
      <c r="H9" s="57"/>
    </row>
    <row r="10" spans="1:8" x14ac:dyDescent="0.3">
      <c r="A10" s="57"/>
      <c r="B10" s="57"/>
      <c r="C10" s="57"/>
      <c r="D10" s="57"/>
      <c r="E10" s="57"/>
      <c r="F10" s="57"/>
      <c r="G10" s="57"/>
      <c r="H10" s="57"/>
    </row>
    <row r="12" spans="1:8" x14ac:dyDescent="0.3">
      <c r="A12" s="8" t="s">
        <v>42</v>
      </c>
      <c r="C12" s="11" t="s">
        <v>71</v>
      </c>
      <c r="D12" s="48" t="s">
        <v>70</v>
      </c>
    </row>
    <row r="13" spans="1:8" x14ac:dyDescent="0.3">
      <c r="A13" s="2" t="s">
        <v>0</v>
      </c>
      <c r="B13" s="2" t="s">
        <v>123</v>
      </c>
      <c r="C13" s="43" t="s">
        <v>44</v>
      </c>
      <c r="D13" s="43" t="s">
        <v>44</v>
      </c>
      <c r="F13" s="43" t="s">
        <v>114</v>
      </c>
    </row>
    <row r="14" spans="1:8" ht="19.5" customHeight="1" x14ac:dyDescent="0.3">
      <c r="A14" s="3" t="s">
        <v>45</v>
      </c>
      <c r="B14" s="3">
        <v>689.25</v>
      </c>
      <c r="C14" s="41">
        <f>B14*$B$19</f>
        <v>52.727624999999996</v>
      </c>
      <c r="D14" s="41">
        <f>ROUND(B14*$B$19,2)</f>
        <v>52.73</v>
      </c>
      <c r="F14" s="94">
        <v>52.73</v>
      </c>
    </row>
    <row r="15" spans="1:8" ht="19.5" customHeight="1" x14ac:dyDescent="0.3">
      <c r="A15" s="3" t="s">
        <v>46</v>
      </c>
      <c r="B15" s="3">
        <v>765.71</v>
      </c>
      <c r="C15" s="41">
        <f t="shared" ref="C15:C16" si="0">B15*$B$19</f>
        <v>58.576815000000003</v>
      </c>
      <c r="D15" s="41">
        <f t="shared" ref="D15:D16" si="1">ROUND(B15*$B$19,2)</f>
        <v>58.58</v>
      </c>
      <c r="F15" s="94">
        <v>58.58</v>
      </c>
    </row>
    <row r="16" spans="1:8" ht="19.5" customHeight="1" thickBot="1" x14ac:dyDescent="0.35">
      <c r="A16" s="3" t="s">
        <v>47</v>
      </c>
      <c r="B16" s="3">
        <v>687.43</v>
      </c>
      <c r="C16" s="41">
        <f t="shared" si="0"/>
        <v>52.588394999999998</v>
      </c>
      <c r="D16" s="41">
        <f t="shared" si="1"/>
        <v>52.59</v>
      </c>
      <c r="F16" s="94">
        <v>52.59</v>
      </c>
    </row>
    <row r="17" spans="1:8" ht="19.5" customHeight="1" thickBot="1" x14ac:dyDescent="0.35">
      <c r="B17" s="8" t="s">
        <v>11</v>
      </c>
      <c r="C17" s="42">
        <f>SUM(C14:C16)</f>
        <v>163.89283499999999</v>
      </c>
      <c r="D17" s="42">
        <f>SUM(D14:D16)</f>
        <v>163.9</v>
      </c>
      <c r="F17" s="96">
        <f>SUM(F14:F16)</f>
        <v>163.9</v>
      </c>
    </row>
    <row r="18" spans="1:8" ht="15" thickTop="1" x14ac:dyDescent="0.3"/>
    <row r="19" spans="1:8" x14ac:dyDescent="0.3">
      <c r="A19" s="14" t="s">
        <v>18</v>
      </c>
      <c r="B19" s="3">
        <v>7.6499999999999999E-2</v>
      </c>
    </row>
    <row r="22" spans="1:8" x14ac:dyDescent="0.3">
      <c r="A22" s="8" t="s">
        <v>79</v>
      </c>
    </row>
    <row r="23" spans="1:8" x14ac:dyDescent="0.3">
      <c r="A23" s="28" t="s">
        <v>52</v>
      </c>
      <c r="B23" s="29">
        <v>1025</v>
      </c>
      <c r="C23" s="29"/>
      <c r="D23" s="30"/>
    </row>
    <row r="24" spans="1:8" x14ac:dyDescent="0.3">
      <c r="A24" s="20" t="s">
        <v>53</v>
      </c>
      <c r="B24" s="20" t="s">
        <v>122</v>
      </c>
      <c r="C24" s="20" t="s">
        <v>54</v>
      </c>
      <c r="D24" s="20" t="s">
        <v>11</v>
      </c>
      <c r="H24" s="20" t="s">
        <v>11</v>
      </c>
    </row>
    <row r="25" spans="1:8" x14ac:dyDescent="0.3">
      <c r="A25" s="3" t="s">
        <v>55</v>
      </c>
      <c r="B25" s="3">
        <v>5.1299999999999998E-2</v>
      </c>
      <c r="C25" s="3">
        <v>31</v>
      </c>
      <c r="D25" s="97">
        <f>ROUND(C25*B25,2)</f>
        <v>1.59</v>
      </c>
      <c r="H25" s="31">
        <f>C25*B25</f>
        <v>1.5903</v>
      </c>
    </row>
    <row r="26" spans="1:8" x14ac:dyDescent="0.3">
      <c r="A26" s="3" t="s">
        <v>72</v>
      </c>
      <c r="B26" s="3">
        <v>7.7499999999999999E-2</v>
      </c>
      <c r="C26" s="3">
        <v>21</v>
      </c>
      <c r="D26" s="97">
        <f t="shared" ref="D26:D27" si="2">ROUND(C26*B26,2)</f>
        <v>1.63</v>
      </c>
      <c r="H26" s="31">
        <f>C26*B26</f>
        <v>1.6274999999999999</v>
      </c>
    </row>
    <row r="27" spans="1:8" x14ac:dyDescent="0.3">
      <c r="A27" s="3" t="s">
        <v>56</v>
      </c>
      <c r="B27" s="3">
        <v>1.0569999999999999</v>
      </c>
      <c r="C27" s="3">
        <v>11</v>
      </c>
      <c r="D27" s="97">
        <f t="shared" si="2"/>
        <v>11.63</v>
      </c>
      <c r="H27" s="31">
        <f>C27*B27</f>
        <v>11.626999999999999</v>
      </c>
    </row>
    <row r="28" spans="1:8" x14ac:dyDescent="0.3">
      <c r="A28" s="21"/>
      <c r="B28" s="22"/>
      <c r="C28" s="20" t="s">
        <v>57</v>
      </c>
      <c r="D28" s="9">
        <f>SUM(D25:D27)</f>
        <v>14.850000000000001</v>
      </c>
      <c r="F28" s="14" t="s">
        <v>18</v>
      </c>
      <c r="H28" s="9">
        <f>SUM(H25:H27)</f>
        <v>14.844799999999999</v>
      </c>
    </row>
    <row r="29" spans="1:8" x14ac:dyDescent="0.3">
      <c r="A29" s="23"/>
      <c r="B29" s="24"/>
      <c r="C29" s="20" t="s">
        <v>58</v>
      </c>
      <c r="D29" s="31">
        <f>ROUND(D28*F29,2)</f>
        <v>1.45</v>
      </c>
      <c r="F29" s="15">
        <v>9.7500000000000003E-2</v>
      </c>
    </row>
    <row r="30" spans="1:8" x14ac:dyDescent="0.3">
      <c r="A30" s="25"/>
      <c r="B30" s="26"/>
      <c r="C30" s="20" t="s">
        <v>11</v>
      </c>
      <c r="D30" s="9">
        <f>SUM(D28:D29)</f>
        <v>16.3</v>
      </c>
    </row>
    <row r="31" spans="1:8" x14ac:dyDescent="0.3">
      <c r="A31" s="27" t="s">
        <v>59</v>
      </c>
      <c r="B31" s="27"/>
      <c r="C31" s="27"/>
      <c r="D31" s="27"/>
    </row>
    <row r="33" spans="1:4" x14ac:dyDescent="0.3">
      <c r="A33" t="s">
        <v>60</v>
      </c>
    </row>
    <row r="34" spans="1:4" x14ac:dyDescent="0.3">
      <c r="A34" t="s">
        <v>61</v>
      </c>
    </row>
    <row r="36" spans="1:4" x14ac:dyDescent="0.3">
      <c r="A36" t="s">
        <v>80</v>
      </c>
    </row>
    <row r="37" spans="1:4" ht="28.8" x14ac:dyDescent="0.3">
      <c r="A37" s="2" t="s">
        <v>62</v>
      </c>
      <c r="B37" s="17" t="s">
        <v>63</v>
      </c>
      <c r="D37" s="14" t="s">
        <v>18</v>
      </c>
    </row>
    <row r="38" spans="1:4" x14ac:dyDescent="0.3">
      <c r="A38" s="18">
        <v>2345.98</v>
      </c>
      <c r="B38" s="19">
        <f>ROUND(A38*$D$38,0)</f>
        <v>364</v>
      </c>
      <c r="D38" s="3">
        <v>0.155</v>
      </c>
    </row>
    <row r="39" spans="1:4" x14ac:dyDescent="0.3">
      <c r="A39" s="18">
        <v>345.49</v>
      </c>
      <c r="B39" s="19">
        <f t="shared" ref="B39:B41" si="3">ROUND(A39*$D$38,0)</f>
        <v>54</v>
      </c>
    </row>
    <row r="40" spans="1:4" x14ac:dyDescent="0.3">
      <c r="A40" s="18">
        <v>235.8</v>
      </c>
      <c r="B40" s="19">
        <f t="shared" si="3"/>
        <v>37</v>
      </c>
    </row>
    <row r="41" spans="1:4" x14ac:dyDescent="0.3">
      <c r="A41" s="18">
        <v>2541.12</v>
      </c>
      <c r="B41" s="19">
        <f t="shared" si="3"/>
        <v>394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A602-BCF0-40FF-8D45-87282723BC31}">
  <sheetPr>
    <tabColor rgb="FFFF0000"/>
  </sheetPr>
  <dimension ref="A1:H41"/>
  <sheetViews>
    <sheetView zoomScale="145" zoomScaleNormal="145" workbookViewId="0">
      <selection activeCell="D17" sqref="D17"/>
    </sheetView>
  </sheetViews>
  <sheetFormatPr defaultRowHeight="14.4" x14ac:dyDescent="0.3"/>
  <cols>
    <col min="1" max="2" width="17.33203125" customWidth="1"/>
    <col min="3" max="3" width="18.88671875" customWidth="1"/>
    <col min="4" max="4" width="17.33203125" customWidth="1"/>
    <col min="5" max="5" width="7.33203125" customWidth="1"/>
    <col min="6" max="6" width="19.88671875" customWidth="1"/>
    <col min="8" max="8" width="11.88671875" customWidth="1"/>
  </cols>
  <sheetData>
    <row r="1" spans="1:8" x14ac:dyDescent="0.3">
      <c r="A1" s="72" t="s">
        <v>78</v>
      </c>
      <c r="B1" s="57"/>
      <c r="C1" s="57"/>
      <c r="D1" s="72" t="s">
        <v>67</v>
      </c>
      <c r="E1" s="57"/>
      <c r="F1" s="57"/>
      <c r="G1" s="57"/>
      <c r="H1" s="57"/>
    </row>
    <row r="2" spans="1:8" x14ac:dyDescent="0.3">
      <c r="A2" s="57" t="s">
        <v>64</v>
      </c>
      <c r="B2" s="57"/>
      <c r="C2" s="57"/>
      <c r="D2" s="57" t="s">
        <v>68</v>
      </c>
      <c r="E2" s="57"/>
      <c r="F2" s="57"/>
      <c r="G2" s="57"/>
      <c r="H2" s="57"/>
    </row>
    <row r="3" spans="1:8" x14ac:dyDescent="0.3">
      <c r="A3" s="57" t="s">
        <v>66</v>
      </c>
      <c r="B3" s="57"/>
      <c r="C3" s="57"/>
      <c r="D3" s="57"/>
      <c r="E3" s="57"/>
      <c r="F3" s="57"/>
      <c r="G3" s="57"/>
      <c r="H3" s="57"/>
    </row>
    <row r="4" spans="1:8" x14ac:dyDescent="0.3">
      <c r="A4" s="57" t="s">
        <v>65</v>
      </c>
      <c r="B4" s="57"/>
      <c r="C4" s="57"/>
      <c r="D4" s="57"/>
      <c r="E4" s="57"/>
      <c r="F4" s="57"/>
      <c r="G4" s="57"/>
      <c r="H4" s="57"/>
    </row>
    <row r="5" spans="1:8" x14ac:dyDescent="0.3">
      <c r="A5" s="57"/>
      <c r="B5" s="57"/>
      <c r="C5" s="57"/>
      <c r="D5" s="57"/>
      <c r="E5" s="57"/>
      <c r="F5" s="57"/>
      <c r="G5" s="57"/>
      <c r="H5" s="57"/>
    </row>
    <row r="6" spans="1:8" x14ac:dyDescent="0.3">
      <c r="A6" s="72" t="s">
        <v>48</v>
      </c>
      <c r="B6" s="57"/>
      <c r="C6" s="57"/>
      <c r="D6" s="80" t="s">
        <v>69</v>
      </c>
      <c r="E6" s="57"/>
      <c r="F6" s="57"/>
      <c r="G6" s="57"/>
      <c r="H6" s="57"/>
    </row>
    <row r="7" spans="1:8" x14ac:dyDescent="0.3">
      <c r="A7" s="57" t="s">
        <v>49</v>
      </c>
      <c r="B7" s="57"/>
      <c r="C7" s="57"/>
      <c r="D7" s="76" t="s">
        <v>40</v>
      </c>
      <c r="E7" s="57"/>
      <c r="F7" s="57"/>
      <c r="G7" s="57"/>
      <c r="H7" s="57"/>
    </row>
    <row r="8" spans="1:8" x14ac:dyDescent="0.3">
      <c r="A8" s="57" t="s">
        <v>50</v>
      </c>
      <c r="B8" s="57"/>
      <c r="C8" s="57"/>
      <c r="D8" s="76" t="s">
        <v>41</v>
      </c>
      <c r="E8" s="57"/>
      <c r="F8" s="57"/>
      <c r="G8" s="57"/>
      <c r="H8" s="57"/>
    </row>
    <row r="9" spans="1:8" x14ac:dyDescent="0.3">
      <c r="A9" s="57" t="s">
        <v>51</v>
      </c>
      <c r="B9" s="57"/>
      <c r="C9" s="57"/>
      <c r="D9" s="76" t="s">
        <v>73</v>
      </c>
      <c r="E9" s="57"/>
      <c r="F9" s="57"/>
      <c r="G9" s="57"/>
      <c r="H9" s="57"/>
    </row>
    <row r="10" spans="1:8" x14ac:dyDescent="0.3">
      <c r="A10" s="57"/>
      <c r="B10" s="57"/>
      <c r="C10" s="57"/>
      <c r="D10" s="57"/>
      <c r="E10" s="57"/>
      <c r="F10" s="57"/>
      <c r="G10" s="57"/>
      <c r="H10" s="57"/>
    </row>
    <row r="12" spans="1:8" x14ac:dyDescent="0.3">
      <c r="A12" s="8" t="s">
        <v>42</v>
      </c>
      <c r="C12" s="11" t="s">
        <v>71</v>
      </c>
      <c r="D12" s="48" t="s">
        <v>70</v>
      </c>
    </row>
    <row r="13" spans="1:8" x14ac:dyDescent="0.3">
      <c r="A13" s="2" t="s">
        <v>0</v>
      </c>
      <c r="B13" s="2" t="s">
        <v>43</v>
      </c>
      <c r="C13" s="43" t="s">
        <v>44</v>
      </c>
      <c r="D13" s="43" t="s">
        <v>44</v>
      </c>
      <c r="F13" s="43" t="s">
        <v>114</v>
      </c>
    </row>
    <row r="14" spans="1:8" x14ac:dyDescent="0.3">
      <c r="A14" s="3" t="s">
        <v>45</v>
      </c>
      <c r="B14" s="3">
        <v>689.25</v>
      </c>
      <c r="C14" s="41">
        <f>B14*$B$19</f>
        <v>52.727624999999996</v>
      </c>
      <c r="D14" s="41">
        <f>ROUND(B14*$B$19,2)</f>
        <v>52.73</v>
      </c>
      <c r="F14" s="94">
        <v>52.73</v>
      </c>
    </row>
    <row r="15" spans="1:8" x14ac:dyDescent="0.3">
      <c r="A15" s="3" t="s">
        <v>46</v>
      </c>
      <c r="B15" s="3">
        <v>765.71</v>
      </c>
      <c r="C15" s="41">
        <f t="shared" ref="C15:C16" si="0">B15*$B$19</f>
        <v>58.576815000000003</v>
      </c>
      <c r="D15" s="41">
        <f t="shared" ref="D15:D16" si="1">ROUND(B15*$B$19,2)</f>
        <v>58.58</v>
      </c>
      <c r="F15" s="94">
        <v>58.58</v>
      </c>
    </row>
    <row r="16" spans="1:8" ht="15" thickBot="1" x14ac:dyDescent="0.35">
      <c r="A16" s="3" t="s">
        <v>47</v>
      </c>
      <c r="B16" s="3">
        <v>687.43</v>
      </c>
      <c r="C16" s="41">
        <f t="shared" si="0"/>
        <v>52.588394999999998</v>
      </c>
      <c r="D16" s="41">
        <f t="shared" si="1"/>
        <v>52.59</v>
      </c>
      <c r="F16" s="94">
        <v>52.59</v>
      </c>
    </row>
    <row r="17" spans="1:8" ht="15" thickBot="1" x14ac:dyDescent="0.35">
      <c r="B17" s="8" t="s">
        <v>11</v>
      </c>
      <c r="C17" s="42">
        <f>SUM(C14:C16)</f>
        <v>163.89283499999999</v>
      </c>
      <c r="D17" s="42">
        <f>SUM(D14:D16)</f>
        <v>163.9</v>
      </c>
      <c r="F17" s="81">
        <f>SUM(F14:F16)</f>
        <v>163.9</v>
      </c>
    </row>
    <row r="18" spans="1:8" ht="15" thickTop="1" x14ac:dyDescent="0.3"/>
    <row r="19" spans="1:8" x14ac:dyDescent="0.3">
      <c r="A19" s="14" t="s">
        <v>18</v>
      </c>
      <c r="B19" s="3">
        <v>7.6499999999999999E-2</v>
      </c>
    </row>
    <row r="22" spans="1:8" x14ac:dyDescent="0.3">
      <c r="A22" s="8" t="s">
        <v>79</v>
      </c>
    </row>
    <row r="23" spans="1:8" x14ac:dyDescent="0.3">
      <c r="A23" s="28" t="s">
        <v>52</v>
      </c>
      <c r="B23" s="29">
        <v>1025</v>
      </c>
      <c r="C23" s="29"/>
      <c r="D23" s="30"/>
    </row>
    <row r="24" spans="1:8" x14ac:dyDescent="0.3">
      <c r="A24" s="20" t="s">
        <v>53</v>
      </c>
      <c r="B24" s="20" t="s">
        <v>9</v>
      </c>
      <c r="C24" s="20" t="s">
        <v>54</v>
      </c>
      <c r="D24" s="20" t="s">
        <v>11</v>
      </c>
      <c r="H24" s="20" t="s">
        <v>11</v>
      </c>
    </row>
    <row r="25" spans="1:8" x14ac:dyDescent="0.3">
      <c r="A25" s="3" t="s">
        <v>55</v>
      </c>
      <c r="B25" s="3">
        <v>5.1299999999999998E-2</v>
      </c>
      <c r="C25" s="3">
        <v>31</v>
      </c>
      <c r="D25" s="31">
        <f>ROUND(C25*B25,2)</f>
        <v>1.59</v>
      </c>
      <c r="H25" s="31">
        <f>C25*B25</f>
        <v>1.5903</v>
      </c>
    </row>
    <row r="26" spans="1:8" x14ac:dyDescent="0.3">
      <c r="A26" s="3" t="s">
        <v>72</v>
      </c>
      <c r="B26" s="3">
        <v>7.7499999999999999E-2</v>
      </c>
      <c r="C26" s="3">
        <v>21</v>
      </c>
      <c r="D26" s="31">
        <f t="shared" ref="D26:D27" si="2">ROUND(C26*B26,2)</f>
        <v>1.63</v>
      </c>
      <c r="H26" s="31">
        <f>C26*B26</f>
        <v>1.6274999999999999</v>
      </c>
    </row>
    <row r="27" spans="1:8" x14ac:dyDescent="0.3">
      <c r="A27" s="3" t="s">
        <v>56</v>
      </c>
      <c r="B27" s="3">
        <v>1.0569999999999999</v>
      </c>
      <c r="C27" s="3">
        <v>11</v>
      </c>
      <c r="D27" s="31">
        <f t="shared" si="2"/>
        <v>11.63</v>
      </c>
      <c r="H27" s="31">
        <f>C27*B27</f>
        <v>11.626999999999999</v>
      </c>
    </row>
    <row r="28" spans="1:8" x14ac:dyDescent="0.3">
      <c r="A28" s="21"/>
      <c r="B28" s="22"/>
      <c r="C28" s="20" t="s">
        <v>57</v>
      </c>
      <c r="D28" s="9">
        <f>SUM(D25:D27)</f>
        <v>14.850000000000001</v>
      </c>
      <c r="F28" s="14" t="s">
        <v>18</v>
      </c>
      <c r="H28" s="9">
        <f>SUM(H25:H27)</f>
        <v>14.844799999999999</v>
      </c>
    </row>
    <row r="29" spans="1:8" x14ac:dyDescent="0.3">
      <c r="A29" s="23"/>
      <c r="B29" s="24"/>
      <c r="C29" s="20" t="s">
        <v>58</v>
      </c>
      <c r="D29" s="31">
        <f>ROUND(D28*F29,2)</f>
        <v>1.45</v>
      </c>
      <c r="F29" s="15">
        <v>9.7500000000000003E-2</v>
      </c>
    </row>
    <row r="30" spans="1:8" x14ac:dyDescent="0.3">
      <c r="A30" s="25"/>
      <c r="B30" s="26"/>
      <c r="C30" s="20" t="s">
        <v>11</v>
      </c>
      <c r="D30" s="9">
        <f>SUM(D28:D29)</f>
        <v>16.3</v>
      </c>
    </row>
    <row r="31" spans="1:8" x14ac:dyDescent="0.3">
      <c r="A31" s="27" t="s">
        <v>59</v>
      </c>
      <c r="B31" s="27"/>
      <c r="C31" s="27"/>
      <c r="D31" s="27"/>
    </row>
    <row r="33" spans="1:4" x14ac:dyDescent="0.3">
      <c r="A33" t="s">
        <v>60</v>
      </c>
    </row>
    <row r="34" spans="1:4" x14ac:dyDescent="0.3">
      <c r="A34" t="s">
        <v>61</v>
      </c>
    </row>
    <row r="36" spans="1:4" x14ac:dyDescent="0.3">
      <c r="A36" t="s">
        <v>80</v>
      </c>
    </row>
    <row r="37" spans="1:4" ht="28.8" x14ac:dyDescent="0.3">
      <c r="A37" s="2" t="s">
        <v>62</v>
      </c>
      <c r="B37" s="17" t="s">
        <v>63</v>
      </c>
      <c r="D37" s="14" t="s">
        <v>18</v>
      </c>
    </row>
    <row r="38" spans="1:4" x14ac:dyDescent="0.3">
      <c r="A38" s="18">
        <v>2345.98</v>
      </c>
      <c r="B38" s="19">
        <f>ROUND(A38*$D$38,0)</f>
        <v>364</v>
      </c>
      <c r="D38" s="3">
        <v>0.155</v>
      </c>
    </row>
    <row r="39" spans="1:4" x14ac:dyDescent="0.3">
      <c r="A39" s="18">
        <v>345.49</v>
      </c>
      <c r="B39" s="19">
        <f t="shared" ref="B39:B41" si="3">ROUND(A39*$D$38,0)</f>
        <v>54</v>
      </c>
    </row>
    <row r="40" spans="1:4" x14ac:dyDescent="0.3">
      <c r="A40" s="18">
        <v>235.8</v>
      </c>
      <c r="B40" s="19">
        <f t="shared" si="3"/>
        <v>37</v>
      </c>
    </row>
    <row r="41" spans="1:4" x14ac:dyDescent="0.3">
      <c r="A41" s="18">
        <v>2541.12</v>
      </c>
      <c r="B41" s="19">
        <f t="shared" si="3"/>
        <v>394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AACD-387C-4964-9C5B-E71AD05F4900}">
  <sheetPr>
    <tabColor theme="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44D3-D2E0-4A8B-8483-4ABEEB72A64F}">
  <sheetPr>
    <tabColor rgb="FF0000FF"/>
  </sheetPr>
  <dimension ref="A1:H17"/>
  <sheetViews>
    <sheetView zoomScale="190" zoomScaleNormal="190" workbookViewId="0">
      <selection activeCell="C4" sqref="C4"/>
    </sheetView>
  </sheetViews>
  <sheetFormatPr defaultRowHeight="14.4" x14ac:dyDescent="0.3"/>
  <cols>
    <col min="1" max="1" width="12.109375" customWidth="1"/>
    <col min="2" max="2" width="10.88671875" customWidth="1"/>
    <col min="3" max="3" width="13.6640625" bestFit="1" customWidth="1"/>
  </cols>
  <sheetData>
    <row r="1" spans="1:8" x14ac:dyDescent="0.3">
      <c r="A1" s="51" t="s">
        <v>90</v>
      </c>
      <c r="B1" s="52"/>
      <c r="C1" s="52"/>
      <c r="D1" s="52"/>
      <c r="E1" s="52"/>
      <c r="F1" s="52"/>
      <c r="G1" s="52"/>
      <c r="H1" s="53"/>
    </row>
    <row r="3" spans="1:8" x14ac:dyDescent="0.3">
      <c r="A3" s="2" t="s">
        <v>0</v>
      </c>
      <c r="B3" s="2" t="s">
        <v>43</v>
      </c>
      <c r="C3" s="2" t="s">
        <v>44</v>
      </c>
      <c r="E3" s="14" t="s">
        <v>18</v>
      </c>
    </row>
    <row r="4" spans="1:8" x14ac:dyDescent="0.3">
      <c r="A4" s="3" t="s">
        <v>6</v>
      </c>
      <c r="B4" s="3">
        <v>5262.26</v>
      </c>
      <c r="C4" s="5"/>
      <c r="E4" s="50">
        <v>1.4749999999999999E-2</v>
      </c>
    </row>
    <row r="5" spans="1:8" x14ac:dyDescent="0.3">
      <c r="A5" s="3" t="s">
        <v>81</v>
      </c>
      <c r="B5" s="3">
        <v>5531.85</v>
      </c>
      <c r="C5" s="5"/>
    </row>
    <row r="6" spans="1:8" x14ac:dyDescent="0.3">
      <c r="A6" s="3" t="s">
        <v>82</v>
      </c>
      <c r="B6" s="3">
        <v>5867.76</v>
      </c>
      <c r="C6" s="5"/>
    </row>
    <row r="7" spans="1:8" x14ac:dyDescent="0.3">
      <c r="A7" s="3" t="s">
        <v>83</v>
      </c>
      <c r="B7" s="3">
        <v>4976.26</v>
      </c>
      <c r="C7" s="5"/>
    </row>
    <row r="8" spans="1:8" x14ac:dyDescent="0.3">
      <c r="A8" s="3" t="s">
        <v>2</v>
      </c>
      <c r="B8" s="3">
        <v>5938.27</v>
      </c>
      <c r="C8" s="5"/>
    </row>
    <row r="9" spans="1:8" x14ac:dyDescent="0.3">
      <c r="A9" s="3" t="s">
        <v>81</v>
      </c>
      <c r="B9" s="3">
        <v>4290.34</v>
      </c>
      <c r="C9" s="5"/>
    </row>
    <row r="10" spans="1:8" x14ac:dyDescent="0.3">
      <c r="A10" s="3" t="s">
        <v>84</v>
      </c>
      <c r="B10" s="3">
        <v>5000.3999999999996</v>
      </c>
      <c r="C10" s="5"/>
    </row>
    <row r="11" spans="1:8" x14ac:dyDescent="0.3">
      <c r="A11" s="3" t="s">
        <v>85</v>
      </c>
      <c r="B11" s="3">
        <v>4780.87</v>
      </c>
      <c r="C11" s="5"/>
    </row>
    <row r="12" spans="1:8" x14ac:dyDescent="0.3">
      <c r="A12" s="3" t="s">
        <v>86</v>
      </c>
      <c r="B12" s="3">
        <v>4536.95</v>
      </c>
      <c r="C12" s="5"/>
    </row>
    <row r="13" spans="1:8" x14ac:dyDescent="0.3">
      <c r="A13" s="3" t="s">
        <v>87</v>
      </c>
      <c r="B13" s="3">
        <v>4070.94</v>
      </c>
      <c r="C13" s="5"/>
    </row>
    <row r="14" spans="1:8" x14ac:dyDescent="0.3">
      <c r="A14" s="3" t="s">
        <v>88</v>
      </c>
      <c r="B14" s="3">
        <v>5018.7299999999996</v>
      </c>
      <c r="C14" s="5"/>
    </row>
    <row r="15" spans="1:8" x14ac:dyDescent="0.3">
      <c r="A15" s="3" t="s">
        <v>6</v>
      </c>
      <c r="B15" s="3">
        <v>4322.54</v>
      </c>
      <c r="C15" s="5"/>
    </row>
    <row r="16" spans="1:8" x14ac:dyDescent="0.3">
      <c r="A16" s="3" t="s">
        <v>89</v>
      </c>
      <c r="B16" s="3">
        <v>4969.74</v>
      </c>
      <c r="C16" s="5"/>
    </row>
    <row r="17" spans="1:3" x14ac:dyDescent="0.3">
      <c r="A17" s="3"/>
      <c r="B17" s="3" t="s">
        <v>11</v>
      </c>
      <c r="C17" s="4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A404-6821-4A80-97B3-F998C7AD3D3C}">
  <sheetPr>
    <tabColor rgb="FFFF0000"/>
  </sheetPr>
  <dimension ref="A1:H17"/>
  <sheetViews>
    <sheetView zoomScale="190" zoomScaleNormal="190" workbookViewId="0">
      <selection activeCell="J3" sqref="J3"/>
    </sheetView>
  </sheetViews>
  <sheetFormatPr defaultRowHeight="14.4" x14ac:dyDescent="0.3"/>
  <cols>
    <col min="1" max="1" width="12.109375" customWidth="1"/>
    <col min="2" max="2" width="10.88671875" customWidth="1"/>
    <col min="3" max="3" width="13.6640625" bestFit="1" customWidth="1"/>
    <col min="7" max="7" width="22.109375" customWidth="1"/>
  </cols>
  <sheetData>
    <row r="1" spans="1:8" x14ac:dyDescent="0.3">
      <c r="A1" s="51" t="s">
        <v>90</v>
      </c>
      <c r="B1" s="52"/>
      <c r="C1" s="52"/>
      <c r="D1" s="52"/>
      <c r="E1" s="52"/>
      <c r="F1" s="52"/>
      <c r="G1" s="52"/>
      <c r="H1" s="53"/>
    </row>
    <row r="3" spans="1:8" x14ac:dyDescent="0.3">
      <c r="A3" s="2" t="s">
        <v>0</v>
      </c>
      <c r="B3" s="2" t="s">
        <v>43</v>
      </c>
      <c r="C3" s="2" t="s">
        <v>44</v>
      </c>
      <c r="E3" s="14" t="s">
        <v>18</v>
      </c>
      <c r="G3" s="14" t="s">
        <v>91</v>
      </c>
    </row>
    <row r="4" spans="1:8" x14ac:dyDescent="0.3">
      <c r="A4" s="3" t="s">
        <v>6</v>
      </c>
      <c r="B4" s="3">
        <v>5262.26</v>
      </c>
      <c r="C4" s="31">
        <f t="shared" ref="C4:C16" si="0">ROUND(B4*$E$4,2)</f>
        <v>77.62</v>
      </c>
      <c r="E4" s="50">
        <v>1.4749999999999999E-2</v>
      </c>
      <c r="G4" s="31">
        <f t="shared" ref="G4:G16" si="1">B4*$E$4</f>
        <v>77.618335000000002</v>
      </c>
    </row>
    <row r="5" spans="1:8" x14ac:dyDescent="0.3">
      <c r="A5" s="3" t="s">
        <v>81</v>
      </c>
      <c r="B5" s="3">
        <v>5531.85</v>
      </c>
      <c r="C5" s="31">
        <f t="shared" si="0"/>
        <v>81.59</v>
      </c>
      <c r="G5" s="31">
        <f t="shared" si="1"/>
        <v>81.594787499999995</v>
      </c>
    </row>
    <row r="6" spans="1:8" x14ac:dyDescent="0.3">
      <c r="A6" s="3" t="s">
        <v>82</v>
      </c>
      <c r="B6" s="3">
        <v>5867.76</v>
      </c>
      <c r="C6" s="31">
        <f t="shared" si="0"/>
        <v>86.55</v>
      </c>
      <c r="G6" s="31">
        <f t="shared" si="1"/>
        <v>86.549459999999996</v>
      </c>
    </row>
    <row r="7" spans="1:8" x14ac:dyDescent="0.3">
      <c r="A7" s="3" t="s">
        <v>83</v>
      </c>
      <c r="B7" s="3">
        <v>4976.26</v>
      </c>
      <c r="C7" s="31">
        <f t="shared" si="0"/>
        <v>73.400000000000006</v>
      </c>
      <c r="G7" s="31">
        <f t="shared" si="1"/>
        <v>73.399834999999996</v>
      </c>
    </row>
    <row r="8" spans="1:8" x14ac:dyDescent="0.3">
      <c r="A8" s="3" t="s">
        <v>2</v>
      </c>
      <c r="B8" s="3">
        <v>5938.27</v>
      </c>
      <c r="C8" s="31">
        <f t="shared" si="0"/>
        <v>87.59</v>
      </c>
      <c r="G8" s="31">
        <f t="shared" si="1"/>
        <v>87.589482500000003</v>
      </c>
    </row>
    <row r="9" spans="1:8" x14ac:dyDescent="0.3">
      <c r="A9" s="3" t="s">
        <v>81</v>
      </c>
      <c r="B9" s="3">
        <v>4290.34</v>
      </c>
      <c r="C9" s="31">
        <f t="shared" si="0"/>
        <v>63.28</v>
      </c>
      <c r="G9" s="31">
        <f t="shared" si="1"/>
        <v>63.282514999999997</v>
      </c>
    </row>
    <row r="10" spans="1:8" x14ac:dyDescent="0.3">
      <c r="A10" s="3" t="s">
        <v>84</v>
      </c>
      <c r="B10" s="3">
        <v>5000.3999999999996</v>
      </c>
      <c r="C10" s="31">
        <f t="shared" si="0"/>
        <v>73.760000000000005</v>
      </c>
      <c r="G10" s="31">
        <f t="shared" si="1"/>
        <v>73.755899999999997</v>
      </c>
    </row>
    <row r="11" spans="1:8" x14ac:dyDescent="0.3">
      <c r="A11" s="3" t="s">
        <v>85</v>
      </c>
      <c r="B11" s="3">
        <v>4780.87</v>
      </c>
      <c r="C11" s="31">
        <f t="shared" si="0"/>
        <v>70.52</v>
      </c>
      <c r="G11" s="31">
        <f t="shared" si="1"/>
        <v>70.517832499999997</v>
      </c>
    </row>
    <row r="12" spans="1:8" x14ac:dyDescent="0.3">
      <c r="A12" s="3" t="s">
        <v>86</v>
      </c>
      <c r="B12" s="3">
        <v>4536.95</v>
      </c>
      <c r="C12" s="31">
        <f t="shared" si="0"/>
        <v>66.92</v>
      </c>
      <c r="G12" s="31">
        <f t="shared" si="1"/>
        <v>66.920012499999999</v>
      </c>
    </row>
    <row r="13" spans="1:8" x14ac:dyDescent="0.3">
      <c r="A13" s="3" t="s">
        <v>87</v>
      </c>
      <c r="B13" s="3">
        <v>4070.94</v>
      </c>
      <c r="C13" s="31">
        <f t="shared" si="0"/>
        <v>60.05</v>
      </c>
      <c r="G13" s="31">
        <f t="shared" si="1"/>
        <v>60.046364999999994</v>
      </c>
    </row>
    <row r="14" spans="1:8" x14ac:dyDescent="0.3">
      <c r="A14" s="3" t="s">
        <v>88</v>
      </c>
      <c r="B14" s="3">
        <v>5018.7299999999996</v>
      </c>
      <c r="C14" s="31">
        <f t="shared" si="0"/>
        <v>74.03</v>
      </c>
      <c r="G14" s="31">
        <f t="shared" si="1"/>
        <v>74.026267499999989</v>
      </c>
    </row>
    <row r="15" spans="1:8" x14ac:dyDescent="0.3">
      <c r="A15" s="3" t="s">
        <v>6</v>
      </c>
      <c r="B15" s="3">
        <v>4322.54</v>
      </c>
      <c r="C15" s="31">
        <f t="shared" si="0"/>
        <v>63.76</v>
      </c>
      <c r="G15" s="31">
        <f t="shared" si="1"/>
        <v>63.757464999999996</v>
      </c>
    </row>
    <row r="16" spans="1:8" x14ac:dyDescent="0.3">
      <c r="A16" s="3" t="s">
        <v>89</v>
      </c>
      <c r="B16" s="3">
        <v>4969.74</v>
      </c>
      <c r="C16" s="31">
        <f t="shared" si="0"/>
        <v>73.3</v>
      </c>
      <c r="G16" s="31">
        <f t="shared" si="1"/>
        <v>73.303664999999995</v>
      </c>
    </row>
    <row r="17" spans="1:7" x14ac:dyDescent="0.3">
      <c r="A17" s="3"/>
      <c r="B17" s="3" t="s">
        <v>11</v>
      </c>
      <c r="C17" s="54">
        <f>SUM(C4:C16)</f>
        <v>952.36999999999978</v>
      </c>
      <c r="G17" s="54">
        <f>SUM(G4:G16)</f>
        <v>952.36192249999999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EF82-402F-4C1E-BEF8-807C1BB9EBA1}">
  <sheetPr>
    <tabColor rgb="FF0000FF"/>
  </sheetPr>
  <dimension ref="A1:H16"/>
  <sheetViews>
    <sheetView zoomScale="190" zoomScaleNormal="190" workbookViewId="0">
      <selection activeCell="C3" sqref="C3"/>
    </sheetView>
  </sheetViews>
  <sheetFormatPr defaultRowHeight="14.4" x14ac:dyDescent="0.3"/>
  <cols>
    <col min="1" max="1" width="12.109375" customWidth="1"/>
    <col min="2" max="2" width="10.88671875" customWidth="1"/>
    <col min="3" max="3" width="13.6640625" bestFit="1" customWidth="1"/>
    <col min="5" max="5" width="21.44140625" customWidth="1"/>
  </cols>
  <sheetData>
    <row r="1" spans="1:8" x14ac:dyDescent="0.3">
      <c r="A1" s="51" t="s">
        <v>92</v>
      </c>
      <c r="B1" s="52"/>
      <c r="C1" s="52"/>
      <c r="D1" s="52"/>
      <c r="E1" s="52"/>
      <c r="F1" s="52"/>
      <c r="G1" s="52"/>
      <c r="H1" s="53"/>
    </row>
    <row r="3" spans="1:8" x14ac:dyDescent="0.3">
      <c r="A3" s="2" t="s">
        <v>0</v>
      </c>
      <c r="B3" s="2" t="s">
        <v>1</v>
      </c>
      <c r="C3" s="2" t="s">
        <v>44</v>
      </c>
      <c r="E3" s="14" t="s">
        <v>18</v>
      </c>
    </row>
    <row r="4" spans="1:8" x14ac:dyDescent="0.3">
      <c r="A4" s="3" t="s">
        <v>6</v>
      </c>
      <c r="B4" s="3">
        <v>300</v>
      </c>
      <c r="C4" s="5">
        <f t="shared" ref="C4:C16" si="0">B4*$E$4</f>
        <v>31.424999999999997</v>
      </c>
      <c r="E4" s="16">
        <v>0.10475</v>
      </c>
    </row>
    <row r="5" spans="1:8" x14ac:dyDescent="0.3">
      <c r="A5" s="3" t="s">
        <v>81</v>
      </c>
      <c r="B5" s="3">
        <v>300</v>
      </c>
      <c r="C5" s="5">
        <f t="shared" si="0"/>
        <v>31.424999999999997</v>
      </c>
    </row>
    <row r="6" spans="1:8" x14ac:dyDescent="0.3">
      <c r="A6" s="3" t="s">
        <v>82</v>
      </c>
      <c r="B6" s="3">
        <v>300</v>
      </c>
      <c r="C6" s="5">
        <f t="shared" si="0"/>
        <v>31.424999999999997</v>
      </c>
    </row>
    <row r="7" spans="1:8" x14ac:dyDescent="0.3">
      <c r="A7" s="3" t="s">
        <v>83</v>
      </c>
      <c r="B7" s="3">
        <v>300</v>
      </c>
      <c r="C7" s="5">
        <f t="shared" si="0"/>
        <v>31.424999999999997</v>
      </c>
    </row>
    <row r="8" spans="1:8" x14ac:dyDescent="0.3">
      <c r="A8" s="3" t="s">
        <v>2</v>
      </c>
      <c r="B8" s="3">
        <v>300</v>
      </c>
      <c r="C8" s="5">
        <f t="shared" si="0"/>
        <v>31.424999999999997</v>
      </c>
    </row>
    <row r="9" spans="1:8" x14ac:dyDescent="0.3">
      <c r="A9" s="3" t="s">
        <v>81</v>
      </c>
      <c r="B9" s="3">
        <v>400</v>
      </c>
      <c r="C9" s="5">
        <f t="shared" si="0"/>
        <v>41.9</v>
      </c>
    </row>
    <row r="10" spans="1:8" x14ac:dyDescent="0.3">
      <c r="A10" s="3" t="s">
        <v>84</v>
      </c>
      <c r="B10" s="3">
        <v>300</v>
      </c>
      <c r="C10" s="5">
        <f t="shared" si="0"/>
        <v>31.424999999999997</v>
      </c>
    </row>
    <row r="11" spans="1:8" x14ac:dyDescent="0.3">
      <c r="A11" s="3" t="s">
        <v>85</v>
      </c>
      <c r="B11" s="3">
        <v>400</v>
      </c>
      <c r="C11" s="5">
        <f t="shared" si="0"/>
        <v>41.9</v>
      </c>
    </row>
    <row r="12" spans="1:8" x14ac:dyDescent="0.3">
      <c r="A12" s="3" t="s">
        <v>86</v>
      </c>
      <c r="B12" s="3">
        <v>300</v>
      </c>
      <c r="C12" s="5">
        <f t="shared" si="0"/>
        <v>31.424999999999997</v>
      </c>
    </row>
    <row r="13" spans="1:8" x14ac:dyDescent="0.3">
      <c r="A13" s="3" t="s">
        <v>87</v>
      </c>
      <c r="B13" s="3">
        <v>400</v>
      </c>
      <c r="C13" s="5">
        <f t="shared" si="0"/>
        <v>41.9</v>
      </c>
    </row>
    <row r="14" spans="1:8" x14ac:dyDescent="0.3">
      <c r="A14" s="3" t="s">
        <v>88</v>
      </c>
      <c r="B14" s="3">
        <v>400</v>
      </c>
      <c r="C14" s="5">
        <f t="shared" si="0"/>
        <v>41.9</v>
      </c>
    </row>
    <row r="15" spans="1:8" x14ac:dyDescent="0.3">
      <c r="A15" s="3" t="s">
        <v>6</v>
      </c>
      <c r="B15" s="3">
        <v>200</v>
      </c>
      <c r="C15" s="5">
        <f t="shared" si="0"/>
        <v>20.95</v>
      </c>
    </row>
    <row r="16" spans="1:8" x14ac:dyDescent="0.3">
      <c r="A16" s="3" t="s">
        <v>89</v>
      </c>
      <c r="B16" s="3">
        <v>400</v>
      </c>
      <c r="C16" s="5">
        <f t="shared" si="0"/>
        <v>41.9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7966-5F7B-4456-A6FA-CE682D6D2AE8}">
  <sheetPr>
    <tabColor rgb="FFFF0000"/>
  </sheetPr>
  <dimension ref="A1:H16"/>
  <sheetViews>
    <sheetView zoomScale="175" zoomScaleNormal="175" workbookViewId="0">
      <selection activeCell="E12" sqref="E12"/>
    </sheetView>
  </sheetViews>
  <sheetFormatPr defaultRowHeight="14.4" x14ac:dyDescent="0.3"/>
  <cols>
    <col min="1" max="1" width="12.109375" customWidth="1"/>
    <col min="2" max="2" width="10.88671875" customWidth="1"/>
    <col min="3" max="3" width="13.6640625" bestFit="1" customWidth="1"/>
    <col min="5" max="5" width="21.44140625" customWidth="1"/>
  </cols>
  <sheetData>
    <row r="1" spans="1:8" x14ac:dyDescent="0.3">
      <c r="A1" s="51" t="s">
        <v>92</v>
      </c>
      <c r="B1" s="52"/>
      <c r="C1" s="52"/>
      <c r="D1" s="52"/>
      <c r="E1" s="52"/>
      <c r="F1" s="52"/>
      <c r="G1" s="52"/>
      <c r="H1" s="53"/>
    </row>
    <row r="3" spans="1:8" x14ac:dyDescent="0.3">
      <c r="A3" s="2" t="s">
        <v>0</v>
      </c>
      <c r="B3" s="2" t="s">
        <v>1</v>
      </c>
      <c r="C3" s="2" t="s">
        <v>44</v>
      </c>
      <c r="E3" s="14" t="s">
        <v>18</v>
      </c>
    </row>
    <row r="4" spans="1:8" x14ac:dyDescent="0.3">
      <c r="A4" s="3" t="s">
        <v>6</v>
      </c>
      <c r="B4" s="3">
        <v>300</v>
      </c>
      <c r="C4" s="5">
        <f t="shared" ref="C4:C16" si="0">B4*$E$4</f>
        <v>31.424999999999997</v>
      </c>
      <c r="E4" s="16">
        <v>0.10475</v>
      </c>
    </row>
    <row r="5" spans="1:8" x14ac:dyDescent="0.3">
      <c r="A5" s="3" t="s">
        <v>81</v>
      </c>
      <c r="B5" s="3">
        <v>300</v>
      </c>
      <c r="C5" s="5">
        <f t="shared" si="0"/>
        <v>31.424999999999997</v>
      </c>
    </row>
    <row r="6" spans="1:8" x14ac:dyDescent="0.3">
      <c r="A6" s="3" t="s">
        <v>82</v>
      </c>
      <c r="B6" s="3">
        <v>300</v>
      </c>
      <c r="C6" s="5">
        <f t="shared" si="0"/>
        <v>31.424999999999997</v>
      </c>
    </row>
    <row r="7" spans="1:8" x14ac:dyDescent="0.3">
      <c r="A7" s="3" t="s">
        <v>83</v>
      </c>
      <c r="B7" s="3">
        <v>300</v>
      </c>
      <c r="C7" s="5">
        <f t="shared" si="0"/>
        <v>31.424999999999997</v>
      </c>
      <c r="E7" t="s">
        <v>124</v>
      </c>
    </row>
    <row r="8" spans="1:8" x14ac:dyDescent="0.3">
      <c r="A8" s="3" t="s">
        <v>2</v>
      </c>
      <c r="B8" s="3">
        <v>300</v>
      </c>
      <c r="C8" s="5">
        <f t="shared" si="0"/>
        <v>31.424999999999997</v>
      </c>
      <c r="E8" t="s">
        <v>125</v>
      </c>
    </row>
    <row r="9" spans="1:8" x14ac:dyDescent="0.3">
      <c r="A9" s="3" t="s">
        <v>81</v>
      </c>
      <c r="B9" s="3">
        <v>400</v>
      </c>
      <c r="C9" s="5">
        <f t="shared" si="0"/>
        <v>41.9</v>
      </c>
      <c r="E9" t="s">
        <v>93</v>
      </c>
    </row>
    <row r="10" spans="1:8" x14ac:dyDescent="0.3">
      <c r="A10" s="3" t="s">
        <v>84</v>
      </c>
      <c r="B10" s="3">
        <v>300</v>
      </c>
      <c r="C10" s="5">
        <f t="shared" si="0"/>
        <v>31.424999999999997</v>
      </c>
      <c r="E10" t="s">
        <v>94</v>
      </c>
    </row>
    <row r="11" spans="1:8" x14ac:dyDescent="0.3">
      <c r="A11" s="3" t="s">
        <v>85</v>
      </c>
      <c r="B11" s="3">
        <v>400</v>
      </c>
      <c r="C11" s="5">
        <f t="shared" si="0"/>
        <v>41.9</v>
      </c>
      <c r="E11" t="s">
        <v>95</v>
      </c>
    </row>
    <row r="12" spans="1:8" x14ac:dyDescent="0.3">
      <c r="A12" s="3" t="s">
        <v>86</v>
      </c>
      <c r="B12" s="3">
        <v>300</v>
      </c>
      <c r="C12" s="5">
        <f t="shared" si="0"/>
        <v>31.424999999999997</v>
      </c>
    </row>
    <row r="13" spans="1:8" x14ac:dyDescent="0.3">
      <c r="A13" s="3" t="s">
        <v>87</v>
      </c>
      <c r="B13" s="3">
        <v>400</v>
      </c>
      <c r="C13" s="5">
        <f t="shared" si="0"/>
        <v>41.9</v>
      </c>
    </row>
    <row r="14" spans="1:8" x14ac:dyDescent="0.3">
      <c r="A14" s="3" t="s">
        <v>88</v>
      </c>
      <c r="B14" s="3">
        <v>400</v>
      </c>
      <c r="C14" s="5">
        <f t="shared" si="0"/>
        <v>41.9</v>
      </c>
    </row>
    <row r="15" spans="1:8" x14ac:dyDescent="0.3">
      <c r="A15" s="3" t="s">
        <v>6</v>
      </c>
      <c r="B15" s="3">
        <v>200</v>
      </c>
      <c r="C15" s="5">
        <f t="shared" si="0"/>
        <v>20.95</v>
      </c>
    </row>
    <row r="16" spans="1:8" x14ac:dyDescent="0.3">
      <c r="A16" s="3" t="s">
        <v>89</v>
      </c>
      <c r="B16" s="3">
        <v>400</v>
      </c>
      <c r="C16" s="5">
        <f t="shared" si="0"/>
        <v>41.9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NF(1)</vt:lpstr>
      <vt:lpstr>NF(1an)</vt:lpstr>
      <vt:lpstr>NF(2)</vt:lpstr>
      <vt:lpstr>NF(2an)</vt:lpstr>
      <vt:lpstr>NF(3)</vt:lpstr>
      <vt:lpstr>NF(3an)</vt:lpstr>
      <vt:lpstr>NF(4)</vt:lpstr>
      <vt:lpstr>NF(4an)</vt:lpstr>
      <vt:lpstr>NF(5)</vt:lpstr>
      <vt:lpstr>NF(5an)</vt:lpstr>
      <vt:lpstr>ROUND(1)</vt:lpstr>
      <vt:lpstr>ROUND(1an)</vt:lpstr>
      <vt:lpstr>ROUND(2)</vt:lpstr>
      <vt:lpstr>ROUND(2an)</vt:lpstr>
      <vt:lpstr>HW ==&gt;&gt;</vt:lpstr>
      <vt:lpstr>HW(1)</vt:lpstr>
      <vt:lpstr>HW(1an)</vt:lpstr>
      <vt:lpstr>HW(2)</vt:lpstr>
      <vt:lpstr>HW(2an)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Rage Inmist</cp:lastModifiedBy>
  <dcterms:created xsi:type="dcterms:W3CDTF">2017-10-26T00:08:51Z</dcterms:created>
  <dcterms:modified xsi:type="dcterms:W3CDTF">2026-04-19T07:37:23Z</dcterms:modified>
</cp:coreProperties>
</file>