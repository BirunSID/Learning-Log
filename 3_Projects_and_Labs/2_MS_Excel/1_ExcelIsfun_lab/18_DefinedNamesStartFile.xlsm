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4A6A2CB1-69FF-4ACC-A008-6ED4B457CC0E}" xr6:coauthVersionLast="47" xr6:coauthVersionMax="47" xr10:uidLastSave="{00000000-0000-0000-0000-000000000000}"/>
  <bookViews>
    <workbookView xWindow="-108" yWindow="-108" windowWidth="23256" windowHeight="13176" activeTab="4" xr2:uid="{C8A5782F-EF12-45F5-8BBB-3CD340B9D1CD}"/>
  </bookViews>
  <sheets>
    <sheet name="Cover" sheetId="1" r:id="rId1"/>
    <sheet name="Defined Names" sheetId="45" r:id="rId2"/>
    <sheet name="Cash" sheetId="47" r:id="rId3"/>
    <sheet name="AR" sheetId="48" r:id="rId4"/>
    <sheet name="Sales" sheetId="49" r:id="rId5"/>
  </sheets>
  <definedNames>
    <definedName name="_xleta.PMT" hidden="1" xlm="1">#NAME?</definedName>
    <definedName name="AR">AR!$J$1</definedName>
    <definedName name="Cash">Cash!$J$1</definedName>
    <definedName name="Date">'Defined Names'!$B$12:$B$20</definedName>
    <definedName name="Loan_Amount">'Defined Names'!$B$3</definedName>
    <definedName name="Month_Rate">'Defined Names'!$B$4</definedName>
    <definedName name="Sales">'Defined Names'!$C$12:$C$20</definedName>
    <definedName name="Sales400">Sales!$J$1</definedName>
    <definedName name="SalesRep">'Defined Names'!$D$12:$D$20</definedName>
    <definedName name="TotalMonths">'Defined Names'!$B$5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45" l="1"/>
  <c r="G18" i="45"/>
  <c r="G17" i="45"/>
  <c r="G16" i="45"/>
  <c r="G13" i="45"/>
  <c r="G14" i="45"/>
  <c r="G12" i="45"/>
  <c r="B6" i="45"/>
  <c r="M8" i="1"/>
  <c r="M7" i="1"/>
  <c r="M6" i="1"/>
</calcChain>
</file>

<file path=xl/sharedStrings.xml><?xml version="1.0" encoding="utf-8"?>
<sst xmlns="http://schemas.openxmlformats.org/spreadsheetml/2006/main" count="65" uniqueCount="30">
  <si>
    <t>Examples:</t>
  </si>
  <si>
    <t>Office 2016 Video #30</t>
  </si>
  <si>
    <t>Account:</t>
  </si>
  <si>
    <t>Account Number:</t>
  </si>
  <si>
    <t>Date</t>
  </si>
  <si>
    <t>Item</t>
  </si>
  <si>
    <t>Post. Ref.</t>
  </si>
  <si>
    <t>Debit</t>
  </si>
  <si>
    <t>Credit</t>
  </si>
  <si>
    <t>Balance</t>
  </si>
  <si>
    <t>Cash - BECU</t>
  </si>
  <si>
    <t>Accounts Receivable</t>
  </si>
  <si>
    <t>Sales</t>
  </si>
  <si>
    <t>SalesRep</t>
  </si>
  <si>
    <t>Jo</t>
  </si>
  <si>
    <t>Gigi</t>
  </si>
  <si>
    <t>Chin</t>
  </si>
  <si>
    <t>Transaction Number</t>
  </si>
  <si>
    <t>Total</t>
  </si>
  <si>
    <t>Count</t>
  </si>
  <si>
    <t>Max</t>
  </si>
  <si>
    <t>Min</t>
  </si>
  <si>
    <t>Excel Basics 18: Defined Names in Excel Formulas &amp; Functions &amp; For Jump Go To!</t>
  </si>
  <si>
    <t>Example 1: Create Defined Names for Formulas</t>
  </si>
  <si>
    <t>Loan Amount</t>
  </si>
  <si>
    <t>Month Rate</t>
  </si>
  <si>
    <t>Monthly PMT</t>
  </si>
  <si>
    <t>TotalMonths</t>
  </si>
  <si>
    <t>Example 2: Create Names From Selection</t>
  </si>
  <si>
    <t>Example 3: Defined Names to Jump to Ledger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</si>
</sst>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&quot;$&quot;#,##0"/>
    <numFmt numFmtId="166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9" fillId="2" borderId="9">
      <alignment wrapText="1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0" fillId="0" borderId="0" applyFont="0" applyFill="0" applyBorder="0" applyAlignment="0" applyProtection="0"/>
    <xf numFmtId="0" fontId="15" fillId="4" borderId="9">
      <alignment wrapText="1"/>
    </xf>
    <xf numFmtId="43" fontId="8" fillId="0" borderId="0" applyFont="0" applyFill="0" applyBorder="0" applyAlignment="0" applyProtection="0"/>
    <xf numFmtId="164" fontId="10" fillId="0" borderId="26"/>
    <xf numFmtId="0" fontId="9" fillId="2" borderId="9"/>
  </cellStyleXfs>
  <cellXfs count="61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8" fontId="7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2" fillId="3" borderId="0" xfId="0" applyFont="1" applyFill="1"/>
    <xf numFmtId="0" fontId="13" fillId="3" borderId="1" xfId="0" applyFont="1" applyFill="1" applyBorder="1" applyAlignment="1">
      <alignment horizontal="centerContinuous"/>
    </xf>
    <xf numFmtId="0" fontId="14" fillId="3" borderId="0" xfId="0" applyFont="1" applyFill="1" applyAlignment="1">
      <alignment horizontal="centerContinuous"/>
    </xf>
    <xf numFmtId="1" fontId="17" fillId="0" borderId="0" xfId="0" applyNumberFormat="1" applyFont="1" applyAlignment="1">
      <alignment horizontal="center"/>
    </xf>
    <xf numFmtId="2" fontId="10" fillId="0" borderId="0" xfId="0" applyNumberFormat="1" applyFont="1"/>
    <xf numFmtId="2" fontId="10" fillId="0" borderId="15" xfId="0" applyNumberFormat="1" applyFont="1" applyBorder="1"/>
    <xf numFmtId="2" fontId="10" fillId="0" borderId="20" xfId="0" applyNumberFormat="1" applyFont="1" applyBorder="1"/>
    <xf numFmtId="2" fontId="10" fillId="0" borderId="12" xfId="0" applyNumberFormat="1" applyFont="1" applyBorder="1" applyAlignment="1">
      <alignment horizontal="left"/>
    </xf>
    <xf numFmtId="2" fontId="10" fillId="0" borderId="21" xfId="0" applyNumberFormat="1" applyFont="1" applyBorder="1" applyAlignment="1">
      <alignment horizontal="left"/>
    </xf>
    <xf numFmtId="2" fontId="10" fillId="0" borderId="22" xfId="7" applyNumberFormat="1" applyFont="1" applyFill="1" applyBorder="1"/>
    <xf numFmtId="2" fontId="10" fillId="0" borderId="23" xfId="0" applyNumberFormat="1" applyFont="1" applyBorder="1"/>
    <xf numFmtId="2" fontId="10" fillId="0" borderId="24" xfId="0" applyNumberFormat="1" applyFont="1" applyBorder="1"/>
    <xf numFmtId="2" fontId="10" fillId="0" borderId="25" xfId="0" applyNumberFormat="1" applyFont="1" applyBorder="1" applyAlignment="1">
      <alignment horizontal="left"/>
    </xf>
    <xf numFmtId="2" fontId="10" fillId="0" borderId="9" xfId="0" applyNumberFormat="1" applyFont="1" applyBorder="1" applyAlignment="1">
      <alignment horizontal="left"/>
    </xf>
    <xf numFmtId="2" fontId="10" fillId="0" borderId="26" xfId="7" applyNumberFormat="1" applyFont="1" applyFill="1" applyBorder="1"/>
    <xf numFmtId="2" fontId="10" fillId="0" borderId="25" xfId="0" applyNumberFormat="1" applyFont="1" applyBorder="1"/>
    <xf numFmtId="2" fontId="10" fillId="0" borderId="9" xfId="0" applyNumberFormat="1" applyFont="1" applyBorder="1"/>
    <xf numFmtId="2" fontId="10" fillId="0" borderId="10" xfId="0" applyNumberFormat="1" applyFont="1" applyBorder="1"/>
    <xf numFmtId="2" fontId="17" fillId="0" borderId="10" xfId="0" applyNumberFormat="1" applyFont="1" applyBorder="1"/>
    <xf numFmtId="2" fontId="10" fillId="0" borderId="11" xfId="0" applyNumberFormat="1" applyFont="1" applyBorder="1" applyAlignment="1">
      <alignment wrapText="1"/>
    </xf>
    <xf numFmtId="2" fontId="10" fillId="0" borderId="12" xfId="0" applyNumberFormat="1" applyFont="1" applyBorder="1" applyAlignment="1">
      <alignment wrapText="1"/>
    </xf>
    <xf numFmtId="2" fontId="10" fillId="0" borderId="13" xfId="0" applyNumberFormat="1" applyFont="1" applyBorder="1" applyAlignment="1">
      <alignment wrapText="1"/>
    </xf>
    <xf numFmtId="2" fontId="10" fillId="0" borderId="14" xfId="0" applyNumberFormat="1" applyFont="1" applyBorder="1" applyAlignment="1">
      <alignment wrapText="1"/>
    </xf>
    <xf numFmtId="2" fontId="10" fillId="0" borderId="15" xfId="0" applyNumberFormat="1" applyFont="1" applyBorder="1" applyAlignment="1">
      <alignment wrapText="1"/>
    </xf>
    <xf numFmtId="2" fontId="10" fillId="0" borderId="16" xfId="0" applyNumberFormat="1" applyFont="1" applyBorder="1" applyAlignment="1">
      <alignment wrapText="1"/>
    </xf>
    <xf numFmtId="2" fontId="10" fillId="0" borderId="17" xfId="0" applyNumberFormat="1" applyFont="1" applyBorder="1" applyAlignment="1">
      <alignment wrapText="1"/>
    </xf>
    <xf numFmtId="2" fontId="10" fillId="0" borderId="18" xfId="0" applyNumberFormat="1" applyFont="1" applyBorder="1" applyAlignment="1">
      <alignment wrapText="1"/>
    </xf>
    <xf numFmtId="2" fontId="10" fillId="0" borderId="19" xfId="0" applyNumberFormat="1" applyFont="1" applyBorder="1" applyAlignment="1">
      <alignment wrapText="1"/>
    </xf>
    <xf numFmtId="2" fontId="17" fillId="0" borderId="0" xfId="0" applyNumberFormat="1" applyFont="1" applyAlignment="1">
      <alignment horizontal="center"/>
    </xf>
    <xf numFmtId="2" fontId="10" fillId="0" borderId="15" xfId="0" applyNumberFormat="1" applyFont="1" applyBorder="1" applyAlignment="1">
      <alignment horizontal="center"/>
    </xf>
    <xf numFmtId="2" fontId="10" fillId="0" borderId="26" xfId="8" applyNumberFormat="1"/>
    <xf numFmtId="0" fontId="9" fillId="2" borderId="9" xfId="9" applyAlignment="1">
      <alignment wrapText="1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166" fontId="0" fillId="5" borderId="9" xfId="0" applyNumberFormat="1" applyFill="1" applyBorder="1"/>
    <xf numFmtId="43" fontId="0" fillId="0" borderId="9" xfId="7" applyFont="1" applyBorder="1"/>
    <xf numFmtId="0" fontId="16" fillId="0" borderId="0" xfId="0" applyFont="1"/>
    <xf numFmtId="8" fontId="0" fillId="5" borderId="9" xfId="0" applyNumberFormat="1" applyFont="1" applyFill="1" applyBorder="1"/>
  </cellXfs>
  <cellStyles count="10">
    <cellStyle name="blue" xfId="1" xr:uid="{1C541EEE-57C5-459D-8108-3A7E3B7C0CFF}"/>
    <cellStyle name="blue 2" xfId="6" xr:uid="{00000000-0005-0000-0000-000000000000}"/>
    <cellStyle name="BlueField" xfId="9" xr:uid="{CB26CF54-327E-4219-9F82-8EADF548E0B2}"/>
    <cellStyle name="Comma" xfId="7" builtinId="3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8" xr:uid="{3B678D22-5CB2-4BBE-A2CC-B4A9C6A2AD23}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347382</xdr:colOff>
      <xdr:row>18</xdr:row>
      <xdr:rowOff>17594</xdr:rowOff>
    </xdr:from>
    <xdr:to>
      <xdr:col>18</xdr:col>
      <xdr:colOff>344640</xdr:colOff>
      <xdr:row>23</xdr:row>
      <xdr:rowOff>200907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2411" y="5049035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392205</xdr:colOff>
      <xdr:row>3</xdr:row>
      <xdr:rowOff>78442</xdr:rowOff>
    </xdr:from>
    <xdr:to>
      <xdr:col>10</xdr:col>
      <xdr:colOff>1949824</xdr:colOff>
      <xdr:row>13</xdr:row>
      <xdr:rowOff>131315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D4835B-F9A9-4856-9615-251BE2720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323" y="963707"/>
          <a:ext cx="7003677" cy="2742284"/>
        </a:xfrm>
        <a:prstGeom prst="rect">
          <a:avLst/>
        </a:prstGeom>
      </xdr:spPr>
    </xdr:pic>
    <xdr:clientData/>
  </xdr:twoCellAnchor>
  <xdr:twoCellAnchor editAs="oneCell">
    <xdr:from>
      <xdr:col>1</xdr:col>
      <xdr:colOff>470647</xdr:colOff>
      <xdr:row>14</xdr:row>
      <xdr:rowOff>108264</xdr:rowOff>
    </xdr:from>
    <xdr:to>
      <xdr:col>9</xdr:col>
      <xdr:colOff>246530</xdr:colOff>
      <xdr:row>24</xdr:row>
      <xdr:rowOff>61632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2C6B00-3A58-4A90-89DE-DD74E6A93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765" y="3974293"/>
          <a:ext cx="4616824" cy="2866898"/>
        </a:xfrm>
        <a:prstGeom prst="rect">
          <a:avLst/>
        </a:prstGeom>
      </xdr:spPr>
    </xdr:pic>
    <xdr:clientData/>
  </xdr:twoCellAnchor>
  <xdr:twoCellAnchor editAs="oneCell">
    <xdr:from>
      <xdr:col>10</xdr:col>
      <xdr:colOff>481853</xdr:colOff>
      <xdr:row>16</xdr:row>
      <xdr:rowOff>257735</xdr:rowOff>
    </xdr:from>
    <xdr:to>
      <xdr:col>16</xdr:col>
      <xdr:colOff>56030</xdr:colOff>
      <xdr:row>23</xdr:row>
      <xdr:rowOff>231046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C903A3-6B84-466B-B9A0-7C3DDB40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3029" y="4706470"/>
          <a:ext cx="4628030" cy="2012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85" zoomScaleNormal="85" workbookViewId="0">
      <selection activeCell="V10" sqref="V10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thickTop="1" x14ac:dyDescent="0.55000000000000004">
      <c r="A2" s="1"/>
      <c r="B2" s="2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21" t="s">
        <v>1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"/>
      <c r="M5" s="11" t="s">
        <v>0</v>
      </c>
      <c r="N5" s="23"/>
      <c r="O5" s="9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'Defined Names'!A1</f>
        <v>Example 1: Create Defined Names for Formulas</v>
      </c>
      <c r="N6" s="23"/>
      <c r="O6" s="12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'Defined Names'!A9</f>
        <v>Example 2: Create Names From Selection</v>
      </c>
      <c r="N7" s="23"/>
      <c r="O7" s="12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'Defined Names'!F1</f>
        <v>Example 3: Defined Names to Jump to Ledger Accounts</v>
      </c>
      <c r="N8" s="23"/>
      <c r="O8" s="12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/>
      <c r="M9" s="16"/>
      <c r="N9" s="23"/>
      <c r="O9" s="12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/>
      <c r="M10" s="16"/>
      <c r="N10" s="9"/>
      <c r="O10" s="12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/>
      <c r="N11" s="9"/>
      <c r="O11" s="12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27583-D8F6-4DB4-A175-A322A7A9090C}">
  <sheetPr>
    <tabColor rgb="FF0000FF"/>
  </sheetPr>
  <dimension ref="A1:G20"/>
  <sheetViews>
    <sheetView topLeftCell="A7" zoomScale="115" zoomScaleNormal="115" workbookViewId="0">
      <selection activeCell="B12" sqref="B12:B20"/>
    </sheetView>
  </sheetViews>
  <sheetFormatPr defaultRowHeight="14.4" x14ac:dyDescent="0.3"/>
  <cols>
    <col min="1" max="1" width="16.6640625" customWidth="1"/>
    <col min="2" max="2" width="11.88671875" customWidth="1"/>
    <col min="3" max="3" width="13" customWidth="1"/>
    <col min="4" max="4" width="10.44140625" customWidth="1"/>
    <col min="7" max="7" width="10.33203125" bestFit="1" customWidth="1"/>
  </cols>
  <sheetData>
    <row r="1" spans="1:7" x14ac:dyDescent="0.3">
      <c r="A1" s="59" t="s">
        <v>23</v>
      </c>
      <c r="F1" s="59" t="s">
        <v>29</v>
      </c>
    </row>
    <row r="3" spans="1:7" x14ac:dyDescent="0.3">
      <c r="A3" s="53" t="s">
        <v>24</v>
      </c>
      <c r="B3" s="58">
        <v>25000</v>
      </c>
    </row>
    <row r="4" spans="1:7" x14ac:dyDescent="0.3">
      <c r="A4" s="53" t="s">
        <v>25</v>
      </c>
      <c r="B4" s="53">
        <v>5.7499999999999999E-3</v>
      </c>
    </row>
    <row r="5" spans="1:7" x14ac:dyDescent="0.3">
      <c r="A5" s="53" t="s">
        <v>27</v>
      </c>
      <c r="B5" s="53">
        <v>60</v>
      </c>
    </row>
    <row r="6" spans="1:7" x14ac:dyDescent="0.3">
      <c r="A6" s="53" t="s">
        <v>26</v>
      </c>
      <c r="B6" s="60">
        <f>PMT(Month_Rate,TotalMonths,Loan_Amount)</f>
        <v>-493.85130924300302</v>
      </c>
    </row>
    <row r="9" spans="1:7" x14ac:dyDescent="0.3">
      <c r="A9" s="59" t="s">
        <v>28</v>
      </c>
    </row>
    <row r="11" spans="1:7" ht="28.8" x14ac:dyDescent="0.3">
      <c r="A11" s="52" t="s">
        <v>17</v>
      </c>
      <c r="B11" s="52" t="s">
        <v>4</v>
      </c>
      <c r="C11" s="52" t="s">
        <v>12</v>
      </c>
      <c r="D11" s="52" t="s">
        <v>13</v>
      </c>
      <c r="F11" s="52" t="s">
        <v>13</v>
      </c>
      <c r="G11" s="52" t="s">
        <v>12</v>
      </c>
    </row>
    <row r="12" spans="1:7" x14ac:dyDescent="0.3">
      <c r="A12" s="53">
        <v>12568</v>
      </c>
      <c r="B12" s="54">
        <v>41974</v>
      </c>
      <c r="C12" s="55">
        <v>19161</v>
      </c>
      <c r="D12" s="53" t="s">
        <v>14</v>
      </c>
      <c r="F12" s="53" t="s">
        <v>14</v>
      </c>
      <c r="G12" s="57">
        <f>SUMIFS(Sales, SalesRep, F12)</f>
        <v>52103</v>
      </c>
    </row>
    <row r="13" spans="1:7" x14ac:dyDescent="0.3">
      <c r="A13" s="53">
        <v>12569</v>
      </c>
      <c r="B13" s="54">
        <v>41974</v>
      </c>
      <c r="C13" s="55">
        <v>15027</v>
      </c>
      <c r="D13" s="53" t="s">
        <v>15</v>
      </c>
      <c r="F13" s="53" t="s">
        <v>15</v>
      </c>
      <c r="G13" s="57">
        <f>SUMIFS(Sales, SalesRep, F13)</f>
        <v>44124</v>
      </c>
    </row>
    <row r="14" spans="1:7" x14ac:dyDescent="0.3">
      <c r="A14" s="53">
        <v>12570</v>
      </c>
      <c r="B14" s="54">
        <v>41975</v>
      </c>
      <c r="C14" s="55">
        <v>12953</v>
      </c>
      <c r="D14" s="53" t="s">
        <v>16</v>
      </c>
      <c r="F14" s="53" t="s">
        <v>16</v>
      </c>
      <c r="G14" s="57">
        <f>SUMIFS(Sales, SalesRep, F14)</f>
        <v>34843</v>
      </c>
    </row>
    <row r="15" spans="1:7" x14ac:dyDescent="0.3">
      <c r="A15" s="53">
        <v>12571</v>
      </c>
      <c r="B15" s="54">
        <v>41975</v>
      </c>
      <c r="C15" s="55">
        <v>12670</v>
      </c>
      <c r="D15" s="53" t="s">
        <v>14</v>
      </c>
    </row>
    <row r="16" spans="1:7" x14ac:dyDescent="0.3">
      <c r="A16" s="53">
        <v>12572</v>
      </c>
      <c r="B16" s="54">
        <v>41975</v>
      </c>
      <c r="C16" s="55">
        <v>8893</v>
      </c>
      <c r="D16" s="53" t="s">
        <v>15</v>
      </c>
      <c r="F16" s="52" t="s">
        <v>18</v>
      </c>
      <c r="G16" s="56">
        <f>SUM(Sales)</f>
        <v>131070</v>
      </c>
    </row>
    <row r="17" spans="1:7" x14ac:dyDescent="0.3">
      <c r="A17" s="53">
        <v>12573</v>
      </c>
      <c r="B17" s="54">
        <v>41976</v>
      </c>
      <c r="C17" s="55">
        <v>4667</v>
      </c>
      <c r="D17" s="53" t="s">
        <v>16</v>
      </c>
      <c r="F17" s="52" t="s">
        <v>19</v>
      </c>
      <c r="G17" s="56">
        <f>COUNT(Sales)</f>
        <v>9</v>
      </c>
    </row>
    <row r="18" spans="1:7" x14ac:dyDescent="0.3">
      <c r="A18" s="53">
        <v>12574</v>
      </c>
      <c r="B18" s="54">
        <v>41976</v>
      </c>
      <c r="C18" s="55">
        <v>20272</v>
      </c>
      <c r="D18" s="53" t="s">
        <v>14</v>
      </c>
      <c r="F18" s="52" t="s">
        <v>20</v>
      </c>
      <c r="G18" s="56">
        <f>MAX(Sales)</f>
        <v>20272</v>
      </c>
    </row>
    <row r="19" spans="1:7" x14ac:dyDescent="0.3">
      <c r="A19" s="53">
        <v>12575</v>
      </c>
      <c r="B19" s="54">
        <v>41976</v>
      </c>
      <c r="C19" s="55">
        <v>20204</v>
      </c>
      <c r="D19" s="53" t="s">
        <v>15</v>
      </c>
      <c r="F19" s="52" t="s">
        <v>21</v>
      </c>
      <c r="G19" s="56">
        <f>MIN(Sales)</f>
        <v>4667</v>
      </c>
    </row>
    <row r="20" spans="1:7" x14ac:dyDescent="0.3">
      <c r="A20" s="53">
        <v>12576</v>
      </c>
      <c r="B20" s="54">
        <v>41976</v>
      </c>
      <c r="C20" s="55">
        <v>17223</v>
      </c>
      <c r="D20" s="53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6474B-70A8-4BC0-A05C-0CA2C2FCE6E9}">
  <sheetPr>
    <tabColor rgb="FFFFFF00"/>
  </sheetPr>
  <dimension ref="A1:J13"/>
  <sheetViews>
    <sheetView showGridLines="0" zoomScale="175" zoomScaleNormal="175" workbookViewId="0">
      <selection activeCell="J1" sqref="J1"/>
    </sheetView>
  </sheetViews>
  <sheetFormatPr defaultRowHeight="14.4" x14ac:dyDescent="0.3"/>
  <sheetData>
    <row r="1" spans="1:10" ht="15" thickBot="1" x14ac:dyDescent="0.35">
      <c r="A1" s="38" t="s">
        <v>2</v>
      </c>
      <c r="B1" s="38"/>
      <c r="C1" s="38"/>
      <c r="D1" s="39" t="s">
        <v>10</v>
      </c>
      <c r="E1" s="39"/>
      <c r="F1" s="39"/>
      <c r="G1" s="38" t="s">
        <v>3</v>
      </c>
      <c r="H1" s="38"/>
      <c r="I1" s="24">
        <v>100</v>
      </c>
      <c r="J1" s="25"/>
    </row>
    <row r="2" spans="1:10" ht="16.5" customHeight="1" thickTop="1" thickBot="1" x14ac:dyDescent="0.35">
      <c r="A2" s="40"/>
      <c r="B2" s="41" t="s">
        <v>4</v>
      </c>
      <c r="C2" s="42"/>
      <c r="D2" s="42" t="s">
        <v>5</v>
      </c>
      <c r="E2" s="43" t="s">
        <v>6</v>
      </c>
      <c r="F2" s="44" t="s">
        <v>7</v>
      </c>
      <c r="G2" s="44" t="s">
        <v>8</v>
      </c>
      <c r="H2" s="44" t="s">
        <v>9</v>
      </c>
      <c r="I2" s="44"/>
      <c r="J2" s="41"/>
    </row>
    <row r="3" spans="1:10" ht="15.6" thickTop="1" thickBot="1" x14ac:dyDescent="0.35">
      <c r="A3" s="45"/>
      <c r="B3" s="46"/>
      <c r="C3" s="47"/>
      <c r="D3" s="47"/>
      <c r="E3" s="48"/>
      <c r="F3" s="44"/>
      <c r="G3" s="44"/>
      <c r="H3" s="26" t="s">
        <v>7</v>
      </c>
      <c r="I3" s="26" t="s">
        <v>8</v>
      </c>
      <c r="J3" s="46"/>
    </row>
    <row r="4" spans="1:10" ht="15" thickTop="1" x14ac:dyDescent="0.3">
      <c r="A4" s="27"/>
      <c r="B4" s="28"/>
      <c r="C4" s="29"/>
      <c r="D4" s="29"/>
      <c r="E4" s="27"/>
      <c r="F4" s="30"/>
      <c r="G4" s="30"/>
      <c r="H4" s="30"/>
      <c r="I4" s="30"/>
      <c r="J4" s="31"/>
    </row>
    <row r="5" spans="1:10" x14ac:dyDescent="0.3">
      <c r="A5" s="32"/>
      <c r="B5" s="33"/>
      <c r="C5" s="34"/>
      <c r="D5" s="34"/>
      <c r="E5" s="32"/>
      <c r="F5" s="35"/>
      <c r="G5" s="35"/>
      <c r="H5" s="30"/>
      <c r="I5" s="30"/>
      <c r="J5" s="36"/>
    </row>
    <row r="6" spans="1:10" x14ac:dyDescent="0.3">
      <c r="A6" s="32"/>
      <c r="B6" s="36"/>
      <c r="C6" s="37"/>
      <c r="D6" s="37"/>
      <c r="E6" s="32"/>
      <c r="F6" s="35"/>
      <c r="G6" s="35"/>
      <c r="H6" s="30"/>
      <c r="I6" s="30"/>
      <c r="J6" s="36"/>
    </row>
    <row r="7" spans="1:10" x14ac:dyDescent="0.3">
      <c r="A7" s="32"/>
      <c r="B7" s="36"/>
      <c r="C7" s="37"/>
      <c r="D7" s="37"/>
      <c r="E7" s="32"/>
      <c r="F7" s="35"/>
      <c r="G7" s="35"/>
      <c r="H7" s="30"/>
      <c r="I7" s="30"/>
      <c r="J7" s="36"/>
    </row>
    <row r="8" spans="1:10" x14ac:dyDescent="0.3">
      <c r="A8" s="32"/>
      <c r="B8" s="36"/>
      <c r="C8" s="37"/>
      <c r="D8" s="37"/>
      <c r="E8" s="32"/>
      <c r="F8" s="35"/>
      <c r="G8" s="35"/>
      <c r="H8" s="30"/>
      <c r="I8" s="30"/>
      <c r="J8" s="36"/>
    </row>
    <row r="9" spans="1:10" x14ac:dyDescent="0.3">
      <c r="A9" s="32"/>
      <c r="B9" s="36"/>
      <c r="C9" s="37"/>
      <c r="D9" s="37"/>
      <c r="E9" s="32"/>
      <c r="F9" s="35"/>
      <c r="G9" s="35"/>
      <c r="H9" s="30"/>
      <c r="I9" s="30"/>
      <c r="J9" s="36"/>
    </row>
    <row r="10" spans="1:10" x14ac:dyDescent="0.3">
      <c r="A10" s="32"/>
      <c r="B10" s="36"/>
      <c r="C10" s="37"/>
      <c r="D10" s="37"/>
      <c r="E10" s="32"/>
      <c r="F10" s="35"/>
      <c r="G10" s="35"/>
      <c r="H10" s="30"/>
      <c r="I10" s="30"/>
      <c r="J10" s="36"/>
    </row>
    <row r="11" spans="1:10" x14ac:dyDescent="0.3">
      <c r="A11" s="32"/>
      <c r="B11" s="36"/>
      <c r="C11" s="37"/>
      <c r="D11" s="37"/>
      <c r="E11" s="32"/>
      <c r="F11" s="35"/>
      <c r="G11" s="35"/>
      <c r="H11" s="30"/>
      <c r="I11" s="30"/>
      <c r="J11" s="36"/>
    </row>
    <row r="12" spans="1:10" x14ac:dyDescent="0.3">
      <c r="A12" s="32"/>
      <c r="B12" s="36"/>
      <c r="C12" s="37"/>
      <c r="D12" s="37"/>
      <c r="E12" s="32"/>
      <c r="F12" s="35"/>
      <c r="G12" s="35"/>
      <c r="H12" s="30"/>
      <c r="I12" s="30"/>
      <c r="J12" s="36"/>
    </row>
    <row r="13" spans="1:10" x14ac:dyDescent="0.3">
      <c r="A13" s="32"/>
      <c r="B13" s="36"/>
      <c r="C13" s="37"/>
      <c r="D13" s="37"/>
      <c r="E13" s="32"/>
      <c r="F13" s="35"/>
      <c r="G13" s="35"/>
      <c r="H13" s="30"/>
      <c r="I13" s="30"/>
      <c r="J13" s="36"/>
    </row>
  </sheetData>
  <dataValidations count="2">
    <dataValidation type="list" allowBlank="1" showInputMessage="1" showErrorMessage="1" sqref="E4:E13" xr:uid="{F7866E68-3CD4-4D91-86FC-8034DCFB7939}">
      <formula1>Journals</formula1>
    </dataValidation>
    <dataValidation type="list" allowBlank="1" showInputMessage="1" showErrorMessage="1" sqref="D4:D13" xr:uid="{731D8215-F1F1-4189-ACF4-9DFFEA233150}">
      <formula1>Item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B179-E113-41A6-8BF9-A5B76E372978}">
  <sheetPr>
    <tabColor rgb="FFFFFF00"/>
  </sheetPr>
  <dimension ref="A1:J13"/>
  <sheetViews>
    <sheetView showGridLines="0" zoomScale="160" zoomScaleNormal="160" workbookViewId="0">
      <selection activeCell="J1" sqref="J1"/>
    </sheetView>
  </sheetViews>
  <sheetFormatPr defaultRowHeight="14.4" x14ac:dyDescent="0.3"/>
  <sheetData>
    <row r="1" spans="1:10" ht="15" thickBot="1" x14ac:dyDescent="0.35">
      <c r="A1" s="38" t="s">
        <v>2</v>
      </c>
      <c r="B1" s="38"/>
      <c r="C1" s="38"/>
      <c r="D1" s="39" t="s">
        <v>11</v>
      </c>
      <c r="E1" s="39"/>
      <c r="F1" s="39"/>
      <c r="G1" s="38" t="s">
        <v>3</v>
      </c>
      <c r="H1" s="38"/>
      <c r="I1" s="49">
        <v>120</v>
      </c>
      <c r="J1" s="25"/>
    </row>
    <row r="2" spans="1:10" ht="16.5" customHeight="1" thickTop="1" thickBot="1" x14ac:dyDescent="0.35">
      <c r="A2" s="40"/>
      <c r="B2" s="41" t="s">
        <v>4</v>
      </c>
      <c r="C2" s="42"/>
      <c r="D2" s="42" t="s">
        <v>5</v>
      </c>
      <c r="E2" s="43" t="s">
        <v>6</v>
      </c>
      <c r="F2" s="44" t="s">
        <v>7</v>
      </c>
      <c r="G2" s="44" t="s">
        <v>8</v>
      </c>
      <c r="H2" s="44" t="s">
        <v>9</v>
      </c>
      <c r="I2" s="44"/>
      <c r="J2" s="41"/>
    </row>
    <row r="3" spans="1:10" ht="15.6" thickTop="1" thickBot="1" x14ac:dyDescent="0.35">
      <c r="A3" s="45"/>
      <c r="B3" s="46"/>
      <c r="C3" s="47"/>
      <c r="D3" s="47"/>
      <c r="E3" s="48"/>
      <c r="F3" s="44"/>
      <c r="G3" s="44"/>
      <c r="H3" s="50" t="s">
        <v>7</v>
      </c>
      <c r="I3" s="50" t="s">
        <v>8</v>
      </c>
      <c r="J3" s="46"/>
    </row>
    <row r="4" spans="1:10" ht="15" thickTop="1" x14ac:dyDescent="0.3">
      <c r="A4" s="27"/>
      <c r="B4" s="28"/>
      <c r="C4" s="29"/>
      <c r="D4" s="29"/>
      <c r="E4" s="27"/>
      <c r="F4" s="30"/>
      <c r="G4" s="30"/>
      <c r="H4" s="30"/>
      <c r="I4" s="30"/>
      <c r="J4" s="31"/>
    </row>
    <row r="5" spans="1:10" x14ac:dyDescent="0.3">
      <c r="A5" s="32"/>
      <c r="B5" s="33"/>
      <c r="C5" s="34"/>
      <c r="D5" s="34"/>
      <c r="E5" s="32"/>
      <c r="F5" s="35"/>
      <c r="G5" s="35"/>
      <c r="H5" s="30"/>
      <c r="I5" s="30"/>
      <c r="J5" s="36"/>
    </row>
    <row r="6" spans="1:10" x14ac:dyDescent="0.3">
      <c r="A6" s="32"/>
      <c r="B6" s="36"/>
      <c r="C6" s="37"/>
      <c r="D6" s="37"/>
      <c r="E6" s="32"/>
      <c r="F6" s="35"/>
      <c r="G6" s="35"/>
      <c r="H6" s="30"/>
      <c r="I6" s="30"/>
      <c r="J6" s="36"/>
    </row>
    <row r="7" spans="1:10" x14ac:dyDescent="0.3">
      <c r="A7" s="32"/>
      <c r="B7" s="36"/>
      <c r="C7" s="37"/>
      <c r="D7" s="37"/>
      <c r="E7" s="32"/>
      <c r="F7" s="35"/>
      <c r="G7" s="35"/>
      <c r="H7" s="30"/>
      <c r="I7" s="30"/>
      <c r="J7" s="36"/>
    </row>
    <row r="8" spans="1:10" x14ac:dyDescent="0.3">
      <c r="A8" s="32"/>
      <c r="B8" s="36"/>
      <c r="C8" s="37"/>
      <c r="D8" s="37"/>
      <c r="E8" s="32"/>
      <c r="F8" s="35"/>
      <c r="G8" s="35"/>
      <c r="H8" s="30"/>
      <c r="I8" s="30"/>
      <c r="J8" s="36"/>
    </row>
    <row r="9" spans="1:10" x14ac:dyDescent="0.3">
      <c r="A9" s="32"/>
      <c r="B9" s="36"/>
      <c r="C9" s="37"/>
      <c r="D9" s="37"/>
      <c r="E9" s="32"/>
      <c r="F9" s="35"/>
      <c r="G9" s="35"/>
      <c r="H9" s="30"/>
      <c r="I9" s="30"/>
      <c r="J9" s="36"/>
    </row>
    <row r="10" spans="1:10" x14ac:dyDescent="0.3">
      <c r="A10" s="32"/>
      <c r="B10" s="36"/>
      <c r="C10" s="37"/>
      <c r="D10" s="37"/>
      <c r="E10" s="32"/>
      <c r="F10" s="35"/>
      <c r="G10" s="35"/>
      <c r="H10" s="30"/>
      <c r="I10" s="30"/>
      <c r="J10" s="36"/>
    </row>
    <row r="11" spans="1:10" x14ac:dyDescent="0.3">
      <c r="A11" s="32"/>
      <c r="B11" s="36"/>
      <c r="C11" s="37"/>
      <c r="D11" s="37"/>
      <c r="E11" s="32"/>
      <c r="F11" s="35"/>
      <c r="G11" s="35"/>
      <c r="H11" s="30"/>
      <c r="I11" s="30"/>
      <c r="J11" s="36"/>
    </row>
    <row r="12" spans="1:10" x14ac:dyDescent="0.3">
      <c r="A12" s="32"/>
      <c r="B12" s="36"/>
      <c r="C12" s="37"/>
      <c r="D12" s="37"/>
      <c r="E12" s="32"/>
      <c r="F12" s="35"/>
      <c r="G12" s="35"/>
      <c r="H12" s="30"/>
      <c r="I12" s="30"/>
      <c r="J12" s="36"/>
    </row>
    <row r="13" spans="1:10" x14ac:dyDescent="0.3">
      <c r="A13" s="32"/>
      <c r="B13" s="36"/>
      <c r="C13" s="37"/>
      <c r="D13" s="37"/>
      <c r="E13" s="32"/>
      <c r="F13" s="35"/>
      <c r="G13" s="35"/>
      <c r="H13" s="30"/>
      <c r="I13" s="30"/>
      <c r="J13" s="36"/>
    </row>
  </sheetData>
  <dataValidations count="2">
    <dataValidation type="list" allowBlank="1" showInputMessage="1" showErrorMessage="1" sqref="D4:D13" xr:uid="{5F60EDF5-9400-45EE-A17D-4E7A57380E77}">
      <formula1>Item</formula1>
    </dataValidation>
    <dataValidation type="list" allowBlank="1" showInputMessage="1" showErrorMessage="1" sqref="E4:E13" xr:uid="{21057389-36A9-43C3-ADF3-D4C468719766}">
      <formula1>Journals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01EF1-10BB-4FB3-A7C8-8DE378CC9F50}">
  <sheetPr>
    <tabColor rgb="FFFFFF00"/>
  </sheetPr>
  <dimension ref="A1:J13"/>
  <sheetViews>
    <sheetView showGridLines="0" tabSelected="1" zoomScale="160" zoomScaleNormal="160" workbookViewId="0">
      <selection activeCell="K7" sqref="K7"/>
    </sheetView>
  </sheetViews>
  <sheetFormatPr defaultRowHeight="14.4" x14ac:dyDescent="0.3"/>
  <sheetData>
    <row r="1" spans="1:10" ht="15" thickBot="1" x14ac:dyDescent="0.35">
      <c r="A1" s="38" t="s">
        <v>2</v>
      </c>
      <c r="B1" s="38"/>
      <c r="C1" s="38"/>
      <c r="D1" s="39" t="s">
        <v>12</v>
      </c>
      <c r="E1" s="39"/>
      <c r="F1" s="39"/>
      <c r="G1" s="38" t="s">
        <v>3</v>
      </c>
      <c r="H1" s="38"/>
      <c r="I1" s="24">
        <v>400</v>
      </c>
      <c r="J1" s="25"/>
    </row>
    <row r="2" spans="1:10" ht="16.5" customHeight="1" thickTop="1" thickBot="1" x14ac:dyDescent="0.35">
      <c r="A2" s="40"/>
      <c r="B2" s="41" t="s">
        <v>4</v>
      </c>
      <c r="C2" s="42"/>
      <c r="D2" s="42" t="s">
        <v>5</v>
      </c>
      <c r="E2" s="43" t="s">
        <v>6</v>
      </c>
      <c r="F2" s="44" t="s">
        <v>7</v>
      </c>
      <c r="G2" s="44" t="s">
        <v>8</v>
      </c>
      <c r="H2" s="44" t="s">
        <v>9</v>
      </c>
      <c r="I2" s="44"/>
      <c r="J2" s="41"/>
    </row>
    <row r="3" spans="1:10" ht="15.6" thickTop="1" thickBot="1" x14ac:dyDescent="0.35">
      <c r="A3" s="45"/>
      <c r="B3" s="46"/>
      <c r="C3" s="47"/>
      <c r="D3" s="47"/>
      <c r="E3" s="48"/>
      <c r="F3" s="44"/>
      <c r="G3" s="44"/>
      <c r="H3" s="50" t="s">
        <v>7</v>
      </c>
      <c r="I3" s="50" t="s">
        <v>8</v>
      </c>
      <c r="J3" s="46"/>
    </row>
    <row r="4" spans="1:10" ht="15" thickTop="1" x14ac:dyDescent="0.3">
      <c r="A4" s="27"/>
      <c r="B4" s="28"/>
      <c r="C4" s="29"/>
      <c r="D4" s="29"/>
      <c r="E4" s="27"/>
      <c r="F4" s="30"/>
      <c r="G4" s="30"/>
      <c r="H4" s="30"/>
      <c r="I4" s="30"/>
      <c r="J4" s="31"/>
    </row>
    <row r="5" spans="1:10" x14ac:dyDescent="0.3">
      <c r="A5" s="32"/>
      <c r="B5" s="33"/>
      <c r="C5" s="34"/>
      <c r="D5" s="34"/>
      <c r="E5" s="32"/>
      <c r="F5" s="35"/>
      <c r="G5" s="51"/>
      <c r="H5" s="30"/>
      <c r="I5" s="30"/>
      <c r="J5" s="36"/>
    </row>
    <row r="6" spans="1:10" x14ac:dyDescent="0.3">
      <c r="A6" s="32"/>
      <c r="B6" s="36"/>
      <c r="C6" s="37"/>
      <c r="D6" s="37"/>
      <c r="E6" s="32"/>
      <c r="F6" s="35"/>
      <c r="G6" s="35"/>
      <c r="H6" s="30"/>
      <c r="I6" s="30"/>
      <c r="J6" s="36"/>
    </row>
    <row r="7" spans="1:10" x14ac:dyDescent="0.3">
      <c r="A7" s="32"/>
      <c r="B7" s="36"/>
      <c r="C7" s="37"/>
      <c r="D7" s="37"/>
      <c r="E7" s="32"/>
      <c r="F7" s="35"/>
      <c r="G7" s="35"/>
      <c r="H7" s="30"/>
      <c r="I7" s="30"/>
      <c r="J7" s="36"/>
    </row>
    <row r="8" spans="1:10" x14ac:dyDescent="0.3">
      <c r="A8" s="32"/>
      <c r="B8" s="36"/>
      <c r="C8" s="37"/>
      <c r="D8" s="37"/>
      <c r="E8" s="32"/>
      <c r="F8" s="35"/>
      <c r="G8" s="35"/>
      <c r="H8" s="30"/>
      <c r="I8" s="30"/>
      <c r="J8" s="36"/>
    </row>
    <row r="9" spans="1:10" x14ac:dyDescent="0.3">
      <c r="A9" s="32"/>
      <c r="B9" s="36"/>
      <c r="C9" s="37"/>
      <c r="D9" s="37"/>
      <c r="E9" s="32"/>
      <c r="F9" s="35"/>
      <c r="G9" s="35"/>
      <c r="H9" s="30"/>
      <c r="I9" s="30"/>
      <c r="J9" s="36"/>
    </row>
    <row r="10" spans="1:10" x14ac:dyDescent="0.3">
      <c r="A10" s="32"/>
      <c r="B10" s="36"/>
      <c r="C10" s="37"/>
      <c r="D10" s="37"/>
      <c r="E10" s="32"/>
      <c r="F10" s="35"/>
      <c r="G10" s="35"/>
      <c r="H10" s="30"/>
      <c r="I10" s="30"/>
      <c r="J10" s="36"/>
    </row>
    <row r="11" spans="1:10" x14ac:dyDescent="0.3">
      <c r="A11" s="32"/>
      <c r="B11" s="36"/>
      <c r="C11" s="37"/>
      <c r="D11" s="37"/>
      <c r="E11" s="32"/>
      <c r="F11" s="35"/>
      <c r="G11" s="35"/>
      <c r="H11" s="30"/>
      <c r="I11" s="30"/>
      <c r="J11" s="36"/>
    </row>
    <row r="12" spans="1:10" x14ac:dyDescent="0.3">
      <c r="A12" s="32"/>
      <c r="B12" s="36"/>
      <c r="C12" s="37"/>
      <c r="D12" s="37"/>
      <c r="E12" s="32"/>
      <c r="F12" s="35"/>
      <c r="G12" s="35"/>
      <c r="H12" s="30"/>
      <c r="I12" s="30"/>
      <c r="J12" s="36"/>
    </row>
    <row r="13" spans="1:10" x14ac:dyDescent="0.3">
      <c r="A13" s="32"/>
      <c r="B13" s="36"/>
      <c r="C13" s="37"/>
      <c r="D13" s="37"/>
      <c r="E13" s="32"/>
      <c r="F13" s="35"/>
      <c r="G13" s="35"/>
      <c r="H13" s="30"/>
      <c r="I13" s="30"/>
      <c r="J13" s="36"/>
    </row>
  </sheetData>
  <dataValidations count="3">
    <dataValidation type="list" allowBlank="1" showInputMessage="1" showErrorMessage="1" sqref="E4:E13" xr:uid="{DA990FE4-2F8A-4841-9FC6-E01097298734}">
      <formula1>Journals</formula1>
    </dataValidation>
    <dataValidation type="list" allowBlank="1" showInputMessage="1" showErrorMessage="1" sqref="D4:D13" xr:uid="{9EE2D2E3-4438-408E-AE8A-979FD99F0926}">
      <formula1>Item</formula1>
    </dataValidation>
    <dataValidation type="list" allowBlank="1" showInputMessage="1" showErrorMessage="1" sqref="B4:B13" xr:uid="{15467116-49CC-47E9-B875-4EB63D7E6567}">
      <formula1>Date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Cover</vt:lpstr>
      <vt:lpstr>Defined Names</vt:lpstr>
      <vt:lpstr>Cash</vt:lpstr>
      <vt:lpstr>AR</vt:lpstr>
      <vt:lpstr>Sales</vt:lpstr>
      <vt:lpstr>AR</vt:lpstr>
      <vt:lpstr>Cash</vt:lpstr>
      <vt:lpstr>Date</vt:lpstr>
      <vt:lpstr>Loan_Amount</vt:lpstr>
      <vt:lpstr>Month_Rate</vt:lpstr>
      <vt:lpstr>Sales</vt:lpstr>
      <vt:lpstr>Sales400</vt:lpstr>
      <vt:lpstr>SalesRep</vt:lpstr>
      <vt:lpstr>TotalMonths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2026-05-14T04:58:48Z</dcterms:modified>
</cp:coreProperties>
</file>