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22DF0897-3C39-4FB9-9A33-67D5A325EB0A}" xr6:coauthVersionLast="47" xr6:coauthVersionMax="47" xr10:uidLastSave="{00000000-0000-0000-0000-000000000000}"/>
  <bookViews>
    <workbookView xWindow="-108" yWindow="-108" windowWidth="23256" windowHeight="13176" firstSheet="5" activeTab="11" xr2:uid="{C8A5782F-EF12-45F5-8BBB-3CD340B9D1CD}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1" l="1"/>
  <c r="M6" i="1"/>
  <c r="M5" i="1"/>
  <c r="K12" i="66" l="1"/>
  <c r="K11" i="66"/>
  <c r="K10" i="66"/>
  <c r="K9" i="66"/>
  <c r="K8" i="66"/>
  <c r="K7" i="66"/>
  <c r="E4" i="66"/>
  <c r="E38" i="65"/>
  <c r="E39" i="65" s="1"/>
  <c r="C38" i="65"/>
  <c r="C39" i="65" s="1"/>
  <c r="B38" i="65"/>
  <c r="B39" i="65" s="1"/>
  <c r="D37" i="65"/>
  <c r="D38" i="65" s="1"/>
  <c r="D39" i="65" s="1"/>
  <c r="E28" i="65"/>
  <c r="E29" i="65" s="1"/>
  <c r="D28" i="65"/>
  <c r="D29" i="65" s="1"/>
  <c r="C28" i="65"/>
  <c r="C29" i="65" s="1"/>
  <c r="B28" i="65"/>
  <c r="B29" i="65" s="1"/>
  <c r="D27" i="65"/>
  <c r="E18" i="65"/>
  <c r="E19" i="65" s="1"/>
  <c r="D18" i="65"/>
  <c r="D19" i="65" s="1"/>
  <c r="C18" i="65"/>
  <c r="C19" i="65" s="1"/>
  <c r="B18" i="65"/>
  <c r="B19" i="65" s="1"/>
  <c r="D17" i="65"/>
  <c r="L12" i="65"/>
  <c r="L11" i="65"/>
  <c r="L10" i="65"/>
  <c r="E9" i="65"/>
  <c r="L8" i="65"/>
  <c r="L9" i="65" s="1"/>
  <c r="E8" i="65"/>
  <c r="C8" i="65"/>
  <c r="C9" i="65" s="1"/>
  <c r="B8" i="65"/>
  <c r="B9" i="65" s="1"/>
  <c r="L7" i="65"/>
  <c r="D7" i="65"/>
  <c r="D8" i="65" s="1"/>
  <c r="D9" i="65" s="1"/>
  <c r="M10" i="1"/>
  <c r="M9" i="1"/>
  <c r="M8" i="1"/>
  <c r="M7" i="1"/>
  <c r="E9" i="57" l="1"/>
  <c r="E10" i="57" s="1"/>
  <c r="C9" i="57"/>
  <c r="C10" i="57" s="1"/>
  <c r="B9" i="57"/>
  <c r="B10" i="57" s="1"/>
  <c r="D8" i="57"/>
  <c r="D9" i="57" s="1"/>
  <c r="D10" i="57" s="1"/>
  <c r="E10" i="56"/>
  <c r="E9" i="56"/>
  <c r="C9" i="56"/>
  <c r="C10" i="56" s="1"/>
  <c r="B9" i="56"/>
  <c r="B10" i="56" s="1"/>
  <c r="D8" i="56"/>
  <c r="D9" i="56" s="1"/>
  <c r="D10" i="56" s="1"/>
  <c r="K12" i="54" l="1"/>
  <c r="K11" i="54"/>
  <c r="K10" i="54"/>
  <c r="K9" i="54"/>
  <c r="K8" i="54"/>
  <c r="K7" i="54"/>
  <c r="E4" i="54"/>
  <c r="L12" i="47" l="1"/>
  <c r="L11" i="47"/>
  <c r="L10" i="47"/>
  <c r="L7" i="47"/>
  <c r="L8" i="47" s="1"/>
  <c r="L9" i="47" s="1"/>
  <c r="E38" i="47"/>
  <c r="E39" i="47" s="1"/>
  <c r="C38" i="47"/>
  <c r="C39" i="47" s="1"/>
  <c r="B38" i="47"/>
  <c r="B39" i="47" s="1"/>
  <c r="D37" i="47"/>
  <c r="D38" i="47" s="1"/>
  <c r="D39" i="47" s="1"/>
  <c r="E28" i="47"/>
  <c r="E29" i="47" s="1"/>
  <c r="C28" i="47"/>
  <c r="C29" i="47" s="1"/>
  <c r="B28" i="47"/>
  <c r="B29" i="47" s="1"/>
  <c r="D27" i="47"/>
  <c r="D28" i="47" s="1"/>
  <c r="D29" i="47" s="1"/>
  <c r="E18" i="47"/>
  <c r="E19" i="47" s="1"/>
  <c r="C18" i="47"/>
  <c r="C19" i="47" s="1"/>
  <c r="B18" i="47"/>
  <c r="B19" i="47" s="1"/>
  <c r="D17" i="47"/>
  <c r="D18" i="47" s="1"/>
  <c r="D19" i="47" s="1"/>
  <c r="E8" i="47"/>
  <c r="E9" i="47" s="1"/>
  <c r="C8" i="47"/>
  <c r="C9" i="47" s="1"/>
  <c r="B8" i="47"/>
  <c r="B9" i="47" s="1"/>
  <c r="D7" i="47"/>
  <c r="D8" i="47" s="1"/>
  <c r="D9" i="47" s="1"/>
</calcChain>
</file>

<file path=xl/sharedStrings.xml><?xml version="1.0" encoding="utf-8"?>
<sst xmlns="http://schemas.openxmlformats.org/spreadsheetml/2006/main" count="329" uniqueCount="70">
  <si>
    <t>Examples:</t>
  </si>
  <si>
    <t>Office 2016 Video #29</t>
  </si>
  <si>
    <t>Criteria</t>
  </si>
  <si>
    <t>1) While typing: Alt + Enter</t>
  </si>
  <si>
    <t>Data Bars</t>
  </si>
  <si>
    <t>Losses</t>
  </si>
  <si>
    <t>Jan</t>
  </si>
  <si>
    <t>Feb</t>
  </si>
  <si>
    <t>Mar</t>
  </si>
  <si>
    <t>Apr</t>
  </si>
  <si>
    <t>Boomerang
Product Name</t>
  </si>
  <si>
    <t>Employee Name</t>
  </si>
  <si>
    <t>Sales Amount</t>
  </si>
  <si>
    <t>Date</t>
  </si>
  <si>
    <t>Product</t>
  </si>
  <si>
    <t>Sales</t>
  </si>
  <si>
    <t>Check #</t>
  </si>
  <si>
    <t>Description</t>
  </si>
  <si>
    <t>Deduction</t>
  </si>
  <si>
    <t>Addition</t>
  </si>
  <si>
    <t>Balance</t>
  </si>
  <si>
    <t>Stock</t>
  </si>
  <si>
    <t>Buy Price</t>
  </si>
  <si>
    <t>Price today</t>
  </si>
  <si>
    <t>Quantity</t>
  </si>
  <si>
    <t>Profit</t>
  </si>
  <si>
    <t>Net Sales</t>
  </si>
  <si>
    <t>Majestic Beaut</t>
  </si>
  <si>
    <t>Jo</t>
  </si>
  <si>
    <t>Flying Eagle</t>
  </si>
  <si>
    <t>GOOG</t>
  </si>
  <si>
    <t>Operating Expenses</t>
  </si>
  <si>
    <t>Delicate Arch Deluxe</t>
  </si>
  <si>
    <t>Moe</t>
  </si>
  <si>
    <t>Smooth Arch</t>
  </si>
  <si>
    <t>Pay Rent</t>
  </si>
  <si>
    <t>GE</t>
  </si>
  <si>
    <t>Administrating Expenses</t>
  </si>
  <si>
    <t>Carlota Doublers</t>
  </si>
  <si>
    <t>Sheliadawn</t>
  </si>
  <si>
    <t>ATM124</t>
  </si>
  <si>
    <t>withdraw</t>
  </si>
  <si>
    <t>KO</t>
  </si>
  <si>
    <t>Other</t>
  </si>
  <si>
    <t>Tina</t>
  </si>
  <si>
    <t>Rev</t>
  </si>
  <si>
    <t>MSFT</t>
  </si>
  <si>
    <t>Total Expenses</t>
  </si>
  <si>
    <t>KK</t>
  </si>
  <si>
    <t>Net Income</t>
  </si>
  <si>
    <t>SW</t>
  </si>
  <si>
    <t>Quad Freestyle</t>
  </si>
  <si>
    <t>or</t>
  </si>
  <si>
    <t>Example 1: Accounting Style Formatting</t>
  </si>
  <si>
    <t>Example 2: Accounting Borders</t>
  </si>
  <si>
    <t>Example 3: Column widths!!</t>
  </si>
  <si>
    <t>2) Command button in Alignment group in Home Ribbon Tab</t>
  </si>
  <si>
    <t>Boomerang Product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</si>
  <si>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</si>
  <si>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</si>
  <si>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Hurdle:</t>
  </si>
  <si>
    <t>Top 25%</t>
  </si>
  <si>
    <t>Example 5: Table Format button (Converts to Excel table)</t>
  </si>
  <si>
    <t>Example 4: Wrap Text in Cell: Multiple Lines in a Cell</t>
  </si>
  <si>
    <t>Example 6: Cell Styles</t>
  </si>
  <si>
    <t>Great if you use thesame Style and Number formatting over and over</t>
  </si>
  <si>
    <t>Example 7: Built-in Conditional Formatting to Visualize Data</t>
  </si>
  <si>
    <t>Excel Basics 17: Style Formatting: By Hand, Cell, Table &amp; Conditional Formatting</t>
  </si>
  <si>
    <t>Boomerang
Product</t>
  </si>
  <si>
    <t>Boomerang 
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</si>
</sst>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"/>
  </numFmts>
  <fonts count="1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8" fillId="6" borderId="9">
      <alignment wrapText="1"/>
    </xf>
  </cellStyleXfs>
  <cellXfs count="75">
    <xf numFmtId="0" fontId="0" fillId="0" borderId="0" xfId="0"/>
    <xf numFmtId="0" fontId="13" fillId="0" borderId="0" xfId="0" applyFont="1" applyAlignment="1">
      <alignment horizontal="left" indent="1"/>
    </xf>
    <xf numFmtId="0" fontId="13" fillId="0" borderId="20" xfId="0" applyFont="1" applyBorder="1"/>
    <xf numFmtId="0" fontId="13" fillId="0" borderId="0" xfId="0" applyFont="1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0" fillId="3" borderId="0" xfId="0" applyFont="1" applyFill="1"/>
    <xf numFmtId="0" fontId="11" fillId="3" borderId="1" xfId="0" applyFont="1" applyFill="1" applyBorder="1" applyAlignment="1">
      <alignment horizontal="centerContinuous"/>
    </xf>
    <xf numFmtId="0" fontId="12" fillId="3" borderId="0" xfId="0" applyFont="1" applyFill="1" applyAlignment="1">
      <alignment horizontal="centerContinuous"/>
    </xf>
    <xf numFmtId="0" fontId="8" fillId="4" borderId="9" xfId="0" applyFont="1" applyFill="1" applyBorder="1"/>
    <xf numFmtId="3" fontId="0" fillId="0" borderId="9" xfId="0" applyNumberFormat="1" applyBorder="1"/>
    <xf numFmtId="0" fontId="0" fillId="0" borderId="9" xfId="0" applyBorder="1"/>
    <xf numFmtId="0" fontId="8" fillId="2" borderId="9" xfId="0" applyFont="1" applyFill="1" applyBorder="1"/>
    <xf numFmtId="8" fontId="0" fillId="0" borderId="9" xfId="0" applyNumberFormat="1" applyBorder="1"/>
    <xf numFmtId="14" fontId="0" fillId="0" borderId="0" xfId="0" applyNumberFormat="1"/>
    <xf numFmtId="164" fontId="0" fillId="0" borderId="0" xfId="2" applyNumberFormat="1" applyFont="1"/>
    <xf numFmtId="164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4" fontId="0" fillId="0" borderId="0" xfId="0" applyNumberFormat="1"/>
    <xf numFmtId="14" fontId="0" fillId="0" borderId="13" xfId="0" applyNumberFormat="1" applyBorder="1"/>
    <xf numFmtId="0" fontId="0" fillId="0" borderId="14" xfId="0" applyBorder="1"/>
    <xf numFmtId="44" fontId="0" fillId="0" borderId="14" xfId="2" applyFont="1" applyBorder="1"/>
    <xf numFmtId="44" fontId="0" fillId="0" borderId="15" xfId="2" applyFont="1" applyBorder="1"/>
    <xf numFmtId="43" fontId="0" fillId="0" borderId="0" xfId="0" applyNumberFormat="1"/>
    <xf numFmtId="0" fontId="0" fillId="0" borderId="13" xfId="0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44" fontId="0" fillId="0" borderId="19" xfId="2" applyFont="1" applyBorder="1"/>
    <xf numFmtId="165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165" fontId="0" fillId="0" borderId="20" xfId="0" applyNumberFormat="1" applyBorder="1"/>
    <xf numFmtId="165" fontId="0" fillId="0" borderId="21" xfId="0" applyNumberFormat="1" applyBorder="1"/>
    <xf numFmtId="0" fontId="0" fillId="0" borderId="9" xfId="0" applyBorder="1" applyAlignment="1">
      <alignment wrapText="1"/>
    </xf>
    <xf numFmtId="0" fontId="0" fillId="5" borderId="22" xfId="0" applyFill="1" applyBorder="1"/>
    <xf numFmtId="0" fontId="0" fillId="5" borderId="16" xfId="0" applyFill="1" applyBorder="1"/>
    <xf numFmtId="0" fontId="0" fillId="5" borderId="23" xfId="0" applyFill="1" applyBorder="1"/>
    <xf numFmtId="165" fontId="0" fillId="0" borderId="9" xfId="0" applyNumberFormat="1" applyBorder="1"/>
    <xf numFmtId="44" fontId="0" fillId="0" borderId="20" xfId="0" applyNumberFormat="1" applyBorder="1"/>
    <xf numFmtId="44" fontId="0" fillId="0" borderId="21" xfId="0" applyNumberFormat="1" applyBorder="1"/>
    <xf numFmtId="8" fontId="0" fillId="0" borderId="0" xfId="0" applyNumberFormat="1"/>
    <xf numFmtId="43" fontId="6" fillId="0" borderId="0" xfId="0" applyNumberFormat="1" applyFont="1"/>
    <xf numFmtId="43" fontId="15" fillId="0" borderId="0" xfId="0" applyNumberFormat="1" applyFont="1"/>
    <xf numFmtId="0" fontId="13" fillId="0" borderId="21" xfId="0" applyFont="1" applyBorder="1"/>
    <xf numFmtId="44" fontId="15" fillId="0" borderId="0" xfId="0" applyNumberFormat="1" applyFont="1"/>
    <xf numFmtId="44" fontId="16" fillId="0" borderId="0" xfId="0" applyNumberFormat="1" applyFont="1"/>
    <xf numFmtId="44" fontId="6" fillId="0" borderId="0" xfId="0" applyNumberFormat="1" applyFont="1"/>
    <xf numFmtId="44" fontId="14" fillId="0" borderId="0" xfId="0" applyNumberFormat="1" applyFont="1"/>
    <xf numFmtId="0" fontId="13" fillId="0" borderId="0" xfId="0" applyFont="1" applyBorder="1"/>
    <xf numFmtId="44" fontId="6" fillId="0" borderId="0" xfId="0" applyNumberFormat="1" applyFont="1" applyBorder="1"/>
    <xf numFmtId="44" fontId="14" fillId="0" borderId="0" xfId="0" applyNumberFormat="1" applyFont="1" applyBorder="1"/>
    <xf numFmtId="44" fontId="15" fillId="0" borderId="0" xfId="0" applyNumberFormat="1" applyFont="1" applyBorder="1"/>
    <xf numFmtId="44" fontId="16" fillId="0" borderId="0" xfId="0" applyNumberFormat="1" applyFont="1" applyBorder="1"/>
    <xf numFmtId="0" fontId="0" fillId="0" borderId="9" xfId="0" applyBorder="1" applyAlignment="1"/>
    <xf numFmtId="0" fontId="8" fillId="6" borderId="9" xfId="3">
      <alignment wrapText="1"/>
    </xf>
  </cellXfs>
  <cellStyles count="4">
    <cellStyle name="Blue header" xfId="3" xr:uid="{6C808BCF-9D7D-4900-96EC-53B2FFDA7629}"/>
    <cellStyle name="Currency" xfId="2" builtinId="4"/>
    <cellStyle name="Hyperlink 2" xfId="1" xr:uid="{5D6EFADD-4361-43A3-96C5-A8C6D19860C8}"/>
    <cellStyle name="Normal" xfId="0" builtinId="0"/>
  </cellStyles>
  <dxfs count="14">
    <dxf>
      <font>
        <color theme="0"/>
      </font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2" formatCode="&quot;$&quot;#,##0.00_);[Red]\(&quot;$&quot;#,##0.00\)"/>
    </dxf>
    <dxf>
      <numFmt numFmtId="19" formatCode="m/d/yyyy"/>
    </dxf>
    <dxf>
      <fill>
        <patternFill>
          <bgColor rgb="FF00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5" formatCode="&quot;$&quot;#,##0.00"/>
    </dxf>
    <dxf>
      <numFmt numFmtId="19" formatCode="m/d/yyyy"/>
    </dxf>
  </dxfs>
  <tableStyles count="0" defaultTableStyle="TableStyleMedium2" defaultPivotStyle="PivotStyleLight16"/>
  <colors>
    <mruColors>
      <color rgb="FF00FF00"/>
      <color rgb="FF00FF99"/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598" y="4215989"/>
          <a:ext cx="1214888" cy="1600568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7895B9-23F2-4D85-B908-A449A503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" y="3112632"/>
          <a:ext cx="9155206" cy="3608471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E730C4-7B6C-4EEC-B383-CAC3DAD6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943" y="762000"/>
          <a:ext cx="6641522" cy="209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180410-6112-4680-8929-8D8A1DDEDC27}" name="SalesTable" displayName="SalesTable" ref="A5:C12" totalsRowShown="0">
  <autoFilter ref="A5:C12" xr:uid="{5A180410-6112-4680-8929-8D8A1DDEDC27}"/>
  <tableColumns count="3">
    <tableColumn id="1" xr3:uid="{39D90A28-A485-43A2-9E51-970EB986F018}" name="Date" dataDxfId="7"/>
    <tableColumn id="2" xr3:uid="{80405EEE-D8FE-45D7-BA3B-9054A640457C}" name="Product"/>
    <tableColumn id="3" xr3:uid="{BC492EE1-9B50-4F53-ADB3-75B96027B8EF}" name="Sales" dataDxfId="6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23C7D-8C31-4BBE-8B41-62491F004B36}" name="SalesAnswer" displayName="SalesAnswer" ref="A5:C12" totalsRowShown="0">
  <autoFilter ref="A5:C12" xr:uid="{B89FC494-C076-4694-A05A-851B0796563D}"/>
  <tableColumns count="3">
    <tableColumn id="1" xr3:uid="{EBA0076A-9E64-41CD-9A66-C69487B7FF0D}" name="Date" dataDxfId="13"/>
    <tableColumn id="2" xr3:uid="{3825B666-F35B-42E8-BC3D-614C91DE360B}" name="Product"/>
    <tableColumn id="3" xr3:uid="{671F6FF8-0CBD-49D1-B368-273321E6CFB8}" name="Sales" dataDxfId="1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97" zoomScaleNormal="97" workbookViewId="0">
      <selection activeCell="U1" sqref="U1"/>
    </sheetView>
  </sheetViews>
  <sheetFormatPr defaultRowHeight="14.4" x14ac:dyDescent="0.3"/>
  <cols>
    <col min="11" max="11" width="30.44140625" customWidth="1"/>
    <col min="19" max="19" width="7.44140625" customWidth="1"/>
  </cols>
  <sheetData>
    <row r="1" spans="1:20" ht="15" thickBo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30" thickTop="1" x14ac:dyDescent="0.55000000000000004">
      <c r="A2" s="4"/>
      <c r="B2" s="24" t="s">
        <v>67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6"/>
      <c r="T2" s="4"/>
    </row>
    <row r="3" spans="1:20" ht="23.4" x14ac:dyDescent="0.45">
      <c r="A3" s="4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4"/>
    </row>
    <row r="4" spans="1:20" ht="23.4" x14ac:dyDescent="0.45">
      <c r="A4" s="4"/>
      <c r="B4" s="7"/>
      <c r="C4" s="8"/>
      <c r="D4" s="8"/>
      <c r="E4" s="8"/>
      <c r="F4" s="8"/>
      <c r="G4" s="8"/>
      <c r="H4" s="15"/>
      <c r="I4" s="15"/>
      <c r="J4" s="18"/>
      <c r="K4" s="19"/>
      <c r="L4" s="8"/>
      <c r="M4" s="14" t="s">
        <v>0</v>
      </c>
      <c r="N4" s="25"/>
      <c r="O4" s="8"/>
      <c r="P4" s="23" t="s">
        <v>1</v>
      </c>
      <c r="Q4" s="8"/>
      <c r="R4" s="8"/>
      <c r="S4" s="9"/>
      <c r="T4" s="4"/>
    </row>
    <row r="5" spans="1:20" ht="22.2" x14ac:dyDescent="0.45">
      <c r="A5" s="4"/>
      <c r="B5" s="11"/>
      <c r="C5" s="12"/>
      <c r="D5" s="12"/>
      <c r="E5" s="12"/>
      <c r="F5" s="12"/>
      <c r="G5" s="12"/>
      <c r="H5" s="15"/>
      <c r="I5" s="15"/>
      <c r="J5" s="18"/>
      <c r="K5" s="19"/>
      <c r="L5" s="18">
        <v>1</v>
      </c>
      <c r="M5" s="19" t="str">
        <f>'Accounting Style (an)'!A1</f>
        <v>Example 1: Accounting Style Formatting</v>
      </c>
      <c r="N5" s="25"/>
      <c r="O5" s="12"/>
      <c r="P5" s="12"/>
      <c r="Q5" s="12"/>
      <c r="R5" s="12"/>
      <c r="S5" s="13"/>
      <c r="T5" s="4"/>
    </row>
    <row r="6" spans="1:20" ht="22.2" x14ac:dyDescent="0.45">
      <c r="A6" s="4"/>
      <c r="B6" s="11"/>
      <c r="C6" s="12"/>
      <c r="D6" s="12"/>
      <c r="E6" s="12"/>
      <c r="F6" s="12"/>
      <c r="G6" s="12"/>
      <c r="H6" s="15"/>
      <c r="I6" s="15"/>
      <c r="J6" s="18"/>
      <c r="K6" s="19"/>
      <c r="L6" s="18">
        <v>2</v>
      </c>
      <c r="M6" s="19" t="str">
        <f>'Accounting Style (an)'!G1</f>
        <v>Example 2: Accounting Borders</v>
      </c>
      <c r="N6" s="25"/>
      <c r="O6" s="15"/>
      <c r="P6" s="12"/>
      <c r="Q6" s="10"/>
      <c r="R6" s="15"/>
      <c r="S6" s="16"/>
      <c r="T6" s="4"/>
    </row>
    <row r="7" spans="1:20" ht="15.6" x14ac:dyDescent="0.3">
      <c r="A7" s="4"/>
      <c r="B7" s="17"/>
      <c r="C7" s="15"/>
      <c r="D7" s="15"/>
      <c r="E7" s="15"/>
      <c r="F7" s="15"/>
      <c r="G7" s="15"/>
      <c r="H7" s="15"/>
      <c r="I7" s="15"/>
      <c r="J7" s="18"/>
      <c r="K7" s="19"/>
      <c r="L7" s="18">
        <v>3</v>
      </c>
      <c r="M7" s="19" t="str">
        <f>'Column W'!A1</f>
        <v>Example 3: Column widths!!</v>
      </c>
      <c r="N7" s="25"/>
      <c r="O7" s="15"/>
      <c r="P7" s="15"/>
      <c r="Q7" s="15"/>
      <c r="R7" s="15"/>
      <c r="S7" s="16"/>
      <c r="T7" s="4"/>
    </row>
    <row r="8" spans="1:20" ht="15.6" x14ac:dyDescent="0.3">
      <c r="A8" s="4"/>
      <c r="B8" s="17"/>
      <c r="C8" s="15"/>
      <c r="D8" s="15"/>
      <c r="E8" s="15"/>
      <c r="F8" s="15"/>
      <c r="G8" s="15"/>
      <c r="H8" s="15"/>
      <c r="I8" s="15"/>
      <c r="J8" s="18"/>
      <c r="K8" s="19"/>
      <c r="L8" s="18">
        <v>4</v>
      </c>
      <c r="M8" s="19" t="str">
        <f>'Wrap Text'!A1</f>
        <v>Example 4: Wrap Text in Cell: Multiple Lines in a Cell</v>
      </c>
      <c r="N8" s="25"/>
      <c r="O8" s="15"/>
      <c r="P8" s="15"/>
      <c r="Q8" s="15"/>
      <c r="R8" s="15"/>
      <c r="S8" s="16"/>
      <c r="T8" s="4"/>
    </row>
    <row r="9" spans="1:20" ht="22.2" x14ac:dyDescent="0.45">
      <c r="A9" s="4"/>
      <c r="B9" s="17"/>
      <c r="C9" s="15"/>
      <c r="D9" s="15"/>
      <c r="E9" s="15"/>
      <c r="F9" s="15"/>
      <c r="G9" s="15"/>
      <c r="H9" s="15"/>
      <c r="I9" s="15"/>
      <c r="J9" s="18"/>
      <c r="K9" s="19"/>
      <c r="L9" s="18">
        <v>5</v>
      </c>
      <c r="M9" s="19" t="str">
        <f>'Table (an)'!A1</f>
        <v>Example 5: Table Format button (Converts to Excel table)</v>
      </c>
      <c r="N9" s="12"/>
      <c r="O9" s="15"/>
      <c r="P9" s="15"/>
      <c r="Q9" s="15"/>
      <c r="R9" s="15"/>
      <c r="S9" s="16"/>
      <c r="T9" s="4"/>
    </row>
    <row r="10" spans="1:20" ht="22.2" x14ac:dyDescent="0.45">
      <c r="A10" s="4"/>
      <c r="B10" s="17"/>
      <c r="C10" s="15"/>
      <c r="D10" s="15"/>
      <c r="E10" s="15"/>
      <c r="F10" s="15"/>
      <c r="G10" s="15"/>
      <c r="H10" s="15"/>
      <c r="I10" s="15"/>
      <c r="J10" s="18"/>
      <c r="K10" s="19"/>
      <c r="L10" s="18">
        <v>6</v>
      </c>
      <c r="M10" s="19" t="str">
        <f>'Cell (an)'!A1</f>
        <v>Example 6: Cell Styles</v>
      </c>
      <c r="N10" s="12"/>
      <c r="O10" s="15"/>
      <c r="P10" s="15"/>
      <c r="Q10" s="15"/>
      <c r="R10" s="15"/>
      <c r="S10" s="16"/>
      <c r="T10" s="4"/>
    </row>
    <row r="11" spans="1:20" ht="22.2" x14ac:dyDescent="0.45">
      <c r="A11" s="4"/>
      <c r="B11" s="17"/>
      <c r="C11" s="15"/>
      <c r="D11" s="15"/>
      <c r="E11" s="15"/>
      <c r="F11" s="15"/>
      <c r="G11" s="15"/>
      <c r="H11" s="15"/>
      <c r="I11" s="15"/>
      <c r="J11" s="18"/>
      <c r="K11" s="19"/>
      <c r="L11" s="18">
        <v>7</v>
      </c>
      <c r="M11" s="19" t="str">
        <f>'CF (an)'!A1</f>
        <v>Example 7: Built-in Conditional Formatting to Visualize Data</v>
      </c>
      <c r="N11" s="12"/>
      <c r="O11" s="15"/>
      <c r="P11" s="15"/>
      <c r="Q11" s="15"/>
      <c r="R11" s="15"/>
      <c r="S11" s="16"/>
      <c r="T11" s="4"/>
    </row>
    <row r="12" spans="1:20" x14ac:dyDescent="0.3">
      <c r="A12" s="4"/>
      <c r="B12" s="17"/>
      <c r="C12" s="15"/>
      <c r="D12" s="15"/>
      <c r="E12" s="15"/>
      <c r="F12" s="15"/>
      <c r="G12" s="15"/>
      <c r="H12" s="15"/>
      <c r="I12" s="15"/>
      <c r="J12" s="18"/>
      <c r="K12" s="19"/>
      <c r="L12" s="19"/>
      <c r="M12" s="19"/>
      <c r="N12" s="19"/>
      <c r="O12" s="15"/>
      <c r="P12" s="15"/>
      <c r="Q12" s="15"/>
      <c r="R12" s="15"/>
      <c r="S12" s="16"/>
      <c r="T12" s="4"/>
    </row>
    <row r="13" spans="1:20" ht="22.2" x14ac:dyDescent="0.45">
      <c r="A13" s="4"/>
      <c r="B13" s="17"/>
      <c r="C13" s="15"/>
      <c r="D13" s="15"/>
      <c r="E13" s="15"/>
      <c r="F13" s="15"/>
      <c r="G13" s="15"/>
      <c r="H13" s="15"/>
      <c r="I13" s="15"/>
      <c r="J13" s="18"/>
      <c r="K13" s="19"/>
      <c r="L13" s="18"/>
      <c r="M13" s="19"/>
      <c r="N13" s="12"/>
      <c r="O13" s="15"/>
      <c r="P13" s="15"/>
      <c r="Q13" s="15"/>
      <c r="R13" s="15"/>
      <c r="S13" s="16"/>
      <c r="T13" s="4"/>
    </row>
    <row r="14" spans="1:20" ht="22.2" x14ac:dyDescent="0.45">
      <c r="A14" s="4"/>
      <c r="B14" s="17"/>
      <c r="C14" s="15"/>
      <c r="D14" s="15"/>
      <c r="E14" s="15"/>
      <c r="F14" s="15"/>
      <c r="G14" s="15"/>
      <c r="H14" s="15"/>
      <c r="I14" s="15"/>
      <c r="J14" s="18"/>
      <c r="K14" s="19"/>
      <c r="L14" s="18"/>
      <c r="M14" s="19"/>
      <c r="N14" s="12"/>
      <c r="O14" s="15"/>
      <c r="P14" s="15"/>
      <c r="Q14" s="15"/>
      <c r="R14" s="15"/>
      <c r="S14" s="16"/>
      <c r="T14" s="4"/>
    </row>
    <row r="15" spans="1:20" ht="22.2" x14ac:dyDescent="0.45">
      <c r="A15" s="4"/>
      <c r="B15" s="17"/>
      <c r="C15" s="15"/>
      <c r="D15" s="15"/>
      <c r="E15" s="15"/>
      <c r="F15" s="15"/>
      <c r="G15" s="15"/>
      <c r="H15" s="15"/>
      <c r="I15" s="15"/>
      <c r="J15" s="18"/>
      <c r="K15" s="19"/>
      <c r="L15" s="18"/>
      <c r="M15" s="19"/>
      <c r="N15" s="12"/>
      <c r="O15" s="15"/>
      <c r="P15" s="15"/>
      <c r="Q15" s="15"/>
      <c r="R15" s="15"/>
      <c r="S15" s="16"/>
      <c r="T15" s="4"/>
    </row>
    <row r="16" spans="1:20" ht="22.2" x14ac:dyDescent="0.45">
      <c r="A16" s="4"/>
      <c r="B16" s="17"/>
      <c r="C16" s="15"/>
      <c r="D16" s="15"/>
      <c r="E16" s="15"/>
      <c r="F16" s="15"/>
      <c r="G16" s="15"/>
      <c r="H16" s="15"/>
      <c r="I16" s="15"/>
      <c r="J16" s="18"/>
      <c r="K16" s="19"/>
      <c r="L16" s="15"/>
      <c r="M16" s="15"/>
      <c r="N16" s="12"/>
      <c r="O16" s="15"/>
      <c r="P16" s="15"/>
      <c r="Q16" s="15"/>
      <c r="R16" s="15"/>
      <c r="S16" s="16"/>
      <c r="T16" s="4"/>
    </row>
    <row r="17" spans="1:20" ht="22.2" x14ac:dyDescent="0.45">
      <c r="A17" s="4"/>
      <c r="B17" s="17"/>
      <c r="C17" s="15"/>
      <c r="D17" s="15"/>
      <c r="E17" s="15"/>
      <c r="F17" s="15"/>
      <c r="G17" s="15"/>
      <c r="H17" s="15"/>
      <c r="I17" s="15"/>
      <c r="J17" s="18"/>
      <c r="K17" s="19"/>
      <c r="L17" s="15"/>
      <c r="M17" s="15"/>
      <c r="N17" s="12"/>
      <c r="O17" s="15"/>
      <c r="P17" s="15"/>
      <c r="Q17" s="15"/>
      <c r="R17" s="15"/>
      <c r="S17" s="16"/>
      <c r="T17" s="4"/>
    </row>
    <row r="18" spans="1:20" ht="22.2" x14ac:dyDescent="0.45">
      <c r="A18" s="4"/>
      <c r="B18" s="17"/>
      <c r="C18" s="15"/>
      <c r="D18" s="15"/>
      <c r="E18" s="15"/>
      <c r="F18" s="15"/>
      <c r="G18" s="15"/>
      <c r="H18" s="15"/>
      <c r="I18" s="15"/>
      <c r="J18" s="18"/>
      <c r="K18" s="19"/>
      <c r="L18" s="15"/>
      <c r="M18" s="15"/>
      <c r="N18" s="12"/>
      <c r="O18" s="15"/>
      <c r="P18" s="15"/>
      <c r="Q18" s="15"/>
      <c r="R18" s="15"/>
      <c r="S18" s="16"/>
      <c r="T18" s="4"/>
    </row>
    <row r="19" spans="1:20" ht="22.2" x14ac:dyDescent="0.45">
      <c r="A19" s="4"/>
      <c r="B19" s="17"/>
      <c r="C19" s="15"/>
      <c r="D19" s="15"/>
      <c r="E19" s="15"/>
      <c r="F19" s="15"/>
      <c r="G19" s="15"/>
      <c r="H19" s="15"/>
      <c r="I19" s="15"/>
      <c r="J19" s="18"/>
      <c r="K19" s="19"/>
      <c r="L19" s="15"/>
      <c r="M19" s="15"/>
      <c r="N19" s="12"/>
      <c r="O19" s="15"/>
      <c r="P19" s="15"/>
      <c r="Q19" s="15"/>
      <c r="R19" s="15"/>
      <c r="S19" s="16"/>
      <c r="T19" s="4"/>
    </row>
    <row r="20" spans="1:20" ht="22.2" x14ac:dyDescent="0.45">
      <c r="A20" s="4"/>
      <c r="B20" s="17"/>
      <c r="C20" s="15"/>
      <c r="D20" s="15"/>
      <c r="E20" s="15"/>
      <c r="F20" s="15"/>
      <c r="G20" s="15"/>
      <c r="H20" s="15"/>
      <c r="I20" s="15"/>
      <c r="J20" s="18"/>
      <c r="K20" s="19"/>
      <c r="L20" s="15"/>
      <c r="M20" s="15"/>
      <c r="N20" s="12"/>
      <c r="O20" s="15"/>
      <c r="P20" s="15"/>
      <c r="Q20" s="15"/>
      <c r="R20" s="15"/>
      <c r="S20" s="16"/>
      <c r="T20" s="4"/>
    </row>
    <row r="21" spans="1:20" ht="22.2" x14ac:dyDescent="0.45">
      <c r="A21" s="4"/>
      <c r="B21" s="17"/>
      <c r="C21" s="15"/>
      <c r="D21" s="15"/>
      <c r="E21" s="15"/>
      <c r="F21" s="15"/>
      <c r="G21" s="15"/>
      <c r="H21" s="15"/>
      <c r="I21" s="15"/>
      <c r="J21" s="18"/>
      <c r="K21" s="19"/>
      <c r="L21" s="15"/>
      <c r="M21" s="15"/>
      <c r="N21" s="12"/>
      <c r="O21" s="15"/>
      <c r="P21" s="15"/>
      <c r="Q21" s="15"/>
      <c r="R21" s="15"/>
      <c r="S21" s="16"/>
      <c r="T21" s="4"/>
    </row>
    <row r="22" spans="1:20" ht="22.2" x14ac:dyDescent="0.45">
      <c r="A22" s="4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2"/>
      <c r="O22" s="15"/>
      <c r="P22" s="15"/>
      <c r="Q22" s="15"/>
      <c r="R22" s="15"/>
      <c r="S22" s="16"/>
      <c r="T22" s="4"/>
    </row>
    <row r="23" spans="1:20" ht="22.2" x14ac:dyDescent="0.45">
      <c r="A23" s="4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2"/>
      <c r="O23" s="15"/>
      <c r="P23" s="15"/>
      <c r="Q23" s="15"/>
      <c r="R23" s="15"/>
      <c r="S23" s="16"/>
      <c r="T23" s="4"/>
    </row>
    <row r="24" spans="1:20" ht="22.2" x14ac:dyDescent="0.45">
      <c r="A24" s="4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2"/>
      <c r="O24" s="15"/>
      <c r="P24" s="15"/>
      <c r="Q24" s="15"/>
      <c r="R24" s="15"/>
      <c r="S24" s="16"/>
      <c r="T24" s="4"/>
    </row>
    <row r="25" spans="1:20" ht="15" thickBot="1" x14ac:dyDescent="0.35">
      <c r="A25" s="4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4"/>
    </row>
    <row r="26" spans="1:20" ht="15" thickTop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4BAE-38BB-48A8-BD7B-296C7CEFFA97}">
  <sheetPr>
    <tabColor rgb="FF0000FF"/>
  </sheetPr>
  <dimension ref="A1:L39"/>
  <sheetViews>
    <sheetView topLeftCell="B2" zoomScale="130" zoomScaleNormal="130" workbookViewId="0">
      <selection activeCell="J17" sqref="J17"/>
    </sheetView>
  </sheetViews>
  <sheetFormatPr defaultRowHeight="14.4" x14ac:dyDescent="0.3"/>
  <cols>
    <col min="1" max="1" width="23.33203125" customWidth="1"/>
    <col min="2" max="5" width="11.33203125" customWidth="1"/>
    <col min="7" max="12" width="13.6640625" customWidth="1"/>
  </cols>
  <sheetData>
    <row r="1" spans="1:12" x14ac:dyDescent="0.3">
      <c r="A1" s="3" t="s">
        <v>53</v>
      </c>
      <c r="G1" s="3" t="s">
        <v>54</v>
      </c>
    </row>
    <row r="3" spans="1:12" x14ac:dyDescent="0.3">
      <c r="B3" s="3" t="s">
        <v>6</v>
      </c>
      <c r="C3" s="3" t="s">
        <v>7</v>
      </c>
      <c r="D3" s="3" t="s">
        <v>8</v>
      </c>
      <c r="E3" s="3" t="s">
        <v>9</v>
      </c>
    </row>
    <row r="4" spans="1:12" ht="15" thickBot="1" x14ac:dyDescent="0.35">
      <c r="A4" s="3" t="s">
        <v>26</v>
      </c>
      <c r="B4" s="48">
        <v>5689</v>
      </c>
      <c r="C4" s="48">
        <v>2569</v>
      </c>
      <c r="D4" s="48">
        <v>6587</v>
      </c>
      <c r="E4" s="48">
        <v>8700</v>
      </c>
    </row>
    <row r="5" spans="1:12" ht="15" thickTop="1" x14ac:dyDescent="0.3">
      <c r="A5" s="1" t="s">
        <v>31</v>
      </c>
      <c r="B5" s="50">
        <v>1801.15</v>
      </c>
      <c r="C5" s="50">
        <v>2099.15</v>
      </c>
      <c r="D5" s="50">
        <v>4100.3</v>
      </c>
      <c r="E5" s="50">
        <v>4245</v>
      </c>
      <c r="G5" s="34" t="s">
        <v>13</v>
      </c>
      <c r="H5" s="35" t="s">
        <v>16</v>
      </c>
      <c r="I5" s="35" t="s">
        <v>17</v>
      </c>
      <c r="J5" s="35" t="s">
        <v>18</v>
      </c>
      <c r="K5" s="35" t="s">
        <v>19</v>
      </c>
      <c r="L5" s="36" t="s">
        <v>20</v>
      </c>
    </row>
    <row r="6" spans="1:12" x14ac:dyDescent="0.3">
      <c r="A6" s="1" t="s">
        <v>37</v>
      </c>
      <c r="B6" s="50">
        <v>537.79999999999995</v>
      </c>
      <c r="C6" s="50">
        <v>513.80000000000007</v>
      </c>
      <c r="D6" s="50">
        <v>1617.4</v>
      </c>
      <c r="E6" s="50">
        <v>1740</v>
      </c>
      <c r="G6" s="38">
        <v>41548</v>
      </c>
      <c r="H6" s="39"/>
      <c r="I6" s="39"/>
      <c r="J6" s="40"/>
      <c r="K6" s="40"/>
      <c r="L6" s="41">
        <v>5000.5</v>
      </c>
    </row>
    <row r="7" spans="1:12" ht="15" thickBot="1" x14ac:dyDescent="0.35">
      <c r="A7" s="1" t="s">
        <v>43</v>
      </c>
      <c r="B7" s="50">
        <v>253.35</v>
      </c>
      <c r="C7" s="50">
        <v>385.34999999999997</v>
      </c>
      <c r="D7" s="50">
        <f>D4-D5-D6</f>
        <v>869.29999999999973</v>
      </c>
      <c r="E7" s="50">
        <v>1305</v>
      </c>
      <c r="G7" s="38">
        <v>41550</v>
      </c>
      <c r="H7" s="39">
        <v>2150</v>
      </c>
      <c r="I7" s="39" t="s">
        <v>35</v>
      </c>
      <c r="J7" s="40">
        <v>500</v>
      </c>
      <c r="K7" s="40"/>
      <c r="L7" s="41">
        <f t="shared" ref="L7:L12" si="0">IF(G7&lt;&gt;"",L6+K7-J7,"")</f>
        <v>4500.5</v>
      </c>
    </row>
    <row r="8" spans="1:12" ht="15" thickBot="1" x14ac:dyDescent="0.35">
      <c r="A8" s="2" t="s">
        <v>47</v>
      </c>
      <c r="B8" s="51">
        <f t="shared" ref="B8:E8" si="1">SUM(B5:B7)</f>
        <v>2592.2999999999997</v>
      </c>
      <c r="C8" s="51">
        <f t="shared" si="1"/>
        <v>2998.3</v>
      </c>
      <c r="D8" s="51">
        <f t="shared" si="1"/>
        <v>6587</v>
      </c>
      <c r="E8" s="51">
        <f t="shared" si="1"/>
        <v>7290</v>
      </c>
      <c r="G8" s="38">
        <v>41550</v>
      </c>
      <c r="H8" s="39" t="s">
        <v>40</v>
      </c>
      <c r="I8" s="39" t="s">
        <v>41</v>
      </c>
      <c r="J8" s="40">
        <v>120</v>
      </c>
      <c r="K8" s="40"/>
      <c r="L8" s="41">
        <f t="shared" si="0"/>
        <v>4380.5</v>
      </c>
    </row>
    <row r="9" spans="1:12" ht="15" thickBot="1" x14ac:dyDescent="0.35">
      <c r="A9" s="63" t="s">
        <v>49</v>
      </c>
      <c r="B9" s="52">
        <f t="shared" ref="B9:E9" si="2">B4-B8</f>
        <v>3096.7000000000003</v>
      </c>
      <c r="C9" s="52">
        <f t="shared" si="2"/>
        <v>-429.30000000000018</v>
      </c>
      <c r="D9" s="52">
        <f t="shared" si="2"/>
        <v>0</v>
      </c>
      <c r="E9" s="52">
        <f t="shared" si="2"/>
        <v>1410</v>
      </c>
      <c r="G9" s="38">
        <v>41551</v>
      </c>
      <c r="H9" s="39"/>
      <c r="I9" s="39" t="s">
        <v>45</v>
      </c>
      <c r="J9" s="40"/>
      <c r="K9" s="40">
        <v>654.25</v>
      </c>
      <c r="L9" s="41">
        <f t="shared" si="0"/>
        <v>5034.75</v>
      </c>
    </row>
    <row r="10" spans="1:12" ht="15" thickTop="1" x14ac:dyDescent="0.3">
      <c r="G10" s="43"/>
      <c r="H10" s="39"/>
      <c r="I10" s="39"/>
      <c r="J10" s="40"/>
      <c r="K10" s="40"/>
      <c r="L10" s="41" t="str">
        <f t="shared" si="0"/>
        <v/>
      </c>
    </row>
    <row r="11" spans="1:12" x14ac:dyDescent="0.3">
      <c r="C11" t="s">
        <v>52</v>
      </c>
      <c r="G11" s="43"/>
      <c r="H11" s="39"/>
      <c r="I11" s="39"/>
      <c r="J11" s="40"/>
      <c r="K11" s="40"/>
      <c r="L11" s="41" t="str">
        <f t="shared" si="0"/>
        <v/>
      </c>
    </row>
    <row r="12" spans="1:12" ht="15" thickBot="1" x14ac:dyDescent="0.35">
      <c r="G12" s="44"/>
      <c r="H12" s="45"/>
      <c r="I12" s="45"/>
      <c r="J12" s="46"/>
      <c r="K12" s="46"/>
      <c r="L12" s="47" t="str">
        <f t="shared" si="0"/>
        <v/>
      </c>
    </row>
    <row r="13" spans="1:12" ht="15" thickTop="1" x14ac:dyDescent="0.3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3">
      <c r="A14" s="3" t="s">
        <v>26</v>
      </c>
      <c r="B14" s="37">
        <v>5689</v>
      </c>
      <c r="C14" s="37">
        <v>2569</v>
      </c>
      <c r="D14" s="37">
        <v>6587</v>
      </c>
      <c r="E14" s="37">
        <v>8700</v>
      </c>
    </row>
    <row r="15" spans="1:12" x14ac:dyDescent="0.3">
      <c r="A15" s="1" t="s">
        <v>31</v>
      </c>
      <c r="B15" s="42">
        <v>1801.15</v>
      </c>
      <c r="C15" s="42">
        <v>2099.15</v>
      </c>
      <c r="D15" s="42">
        <v>4100.3</v>
      </c>
      <c r="E15" s="42">
        <v>4245</v>
      </c>
    </row>
    <row r="16" spans="1:12" x14ac:dyDescent="0.3">
      <c r="A16" s="1" t="s">
        <v>37</v>
      </c>
      <c r="B16" s="42">
        <v>537.79999999999995</v>
      </c>
      <c r="C16" s="42">
        <v>513.80000000000007</v>
      </c>
      <c r="D16" s="42">
        <v>1617.4</v>
      </c>
      <c r="E16" s="42">
        <v>1740</v>
      </c>
    </row>
    <row r="17" spans="1:5" ht="15" thickBot="1" x14ac:dyDescent="0.35">
      <c r="A17" s="1" t="s">
        <v>43</v>
      </c>
      <c r="B17" s="42">
        <v>253.35</v>
      </c>
      <c r="C17" s="42">
        <v>385.34999999999997</v>
      </c>
      <c r="D17" s="42">
        <f>D14-D15-D16</f>
        <v>869.29999999999973</v>
      </c>
      <c r="E17" s="42">
        <v>1305</v>
      </c>
    </row>
    <row r="18" spans="1:5" ht="15" thickBot="1" x14ac:dyDescent="0.35">
      <c r="A18" s="2" t="s">
        <v>47</v>
      </c>
      <c r="B18" s="58">
        <f t="shared" ref="B18:E18" si="3">SUM(B15:B17)</f>
        <v>2592.2999999999997</v>
      </c>
      <c r="C18" s="58">
        <f t="shared" si="3"/>
        <v>2998.3</v>
      </c>
      <c r="D18" s="58">
        <f t="shared" si="3"/>
        <v>6587</v>
      </c>
      <c r="E18" s="58">
        <f t="shared" si="3"/>
        <v>7290</v>
      </c>
    </row>
    <row r="19" spans="1:5" ht="15" thickBot="1" x14ac:dyDescent="0.35">
      <c r="A19" s="63" t="s">
        <v>49</v>
      </c>
      <c r="B19" s="59">
        <f t="shared" ref="B19:E19" si="4">B14-B18</f>
        <v>3096.7000000000003</v>
      </c>
      <c r="C19" s="59">
        <f t="shared" si="4"/>
        <v>-429.30000000000018</v>
      </c>
      <c r="D19" s="59">
        <f t="shared" si="4"/>
        <v>0</v>
      </c>
      <c r="E19" s="59">
        <f t="shared" si="4"/>
        <v>1410</v>
      </c>
    </row>
    <row r="20" spans="1:5" ht="15" thickTop="1" x14ac:dyDescent="0.3"/>
    <row r="21" spans="1:5" x14ac:dyDescent="0.3">
      <c r="C21" t="s">
        <v>52</v>
      </c>
    </row>
    <row r="23" spans="1:5" x14ac:dyDescent="0.3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3">
      <c r="A24" s="3" t="s">
        <v>26</v>
      </c>
      <c r="B24" s="37">
        <v>5689</v>
      </c>
      <c r="C24" s="37">
        <v>2569</v>
      </c>
      <c r="D24" s="37">
        <v>6587</v>
      </c>
      <c r="E24" s="37">
        <v>8700</v>
      </c>
    </row>
    <row r="25" spans="1:5" x14ac:dyDescent="0.3">
      <c r="A25" s="1" t="s">
        <v>31</v>
      </c>
      <c r="B25" s="42">
        <v>1801.15</v>
      </c>
      <c r="C25" s="42">
        <v>2099.15</v>
      </c>
      <c r="D25" s="42">
        <v>4100.3</v>
      </c>
      <c r="E25" s="42">
        <v>4245</v>
      </c>
    </row>
    <row r="26" spans="1:5" x14ac:dyDescent="0.3">
      <c r="A26" s="1" t="s">
        <v>37</v>
      </c>
      <c r="B26" s="42">
        <v>537.79999999999995</v>
      </c>
      <c r="C26" s="42">
        <v>513.80000000000007</v>
      </c>
      <c r="D26" s="42">
        <v>1617.4</v>
      </c>
      <c r="E26" s="42">
        <v>1740</v>
      </c>
    </row>
    <row r="27" spans="1:5" x14ac:dyDescent="0.3">
      <c r="A27" s="1" t="s">
        <v>43</v>
      </c>
      <c r="B27" s="61">
        <v>253.35</v>
      </c>
      <c r="C27" s="61">
        <v>385.34999999999997</v>
      </c>
      <c r="D27" s="61">
        <f>D24-D25-D26</f>
        <v>869.29999999999973</v>
      </c>
      <c r="E27" s="61">
        <v>1305</v>
      </c>
    </row>
    <row r="28" spans="1:5" x14ac:dyDescent="0.3">
      <c r="A28" s="68" t="s">
        <v>47</v>
      </c>
      <c r="B28" s="69">
        <f t="shared" ref="B28:E28" si="5">SUM(B25:B27)</f>
        <v>2592.2999999999997</v>
      </c>
      <c r="C28" s="69">
        <f t="shared" si="5"/>
        <v>2998.3</v>
      </c>
      <c r="D28" s="69">
        <f t="shared" si="5"/>
        <v>6587</v>
      </c>
      <c r="E28" s="69">
        <f t="shared" si="5"/>
        <v>7290</v>
      </c>
    </row>
    <row r="29" spans="1:5" x14ac:dyDescent="0.3">
      <c r="A29" s="68" t="s">
        <v>49</v>
      </c>
      <c r="B29" s="70">
        <f t="shared" ref="B29:E29" si="6">B24-B28</f>
        <v>3096.7000000000003</v>
      </c>
      <c r="C29" s="70">
        <f t="shared" si="6"/>
        <v>-429.30000000000018</v>
      </c>
      <c r="D29" s="70">
        <f t="shared" si="6"/>
        <v>0</v>
      </c>
      <c r="E29" s="70">
        <f t="shared" si="6"/>
        <v>1410</v>
      </c>
    </row>
    <row r="31" spans="1:5" x14ac:dyDescent="0.3">
      <c r="C31" t="s">
        <v>52</v>
      </c>
    </row>
    <row r="33" spans="1:5" x14ac:dyDescent="0.3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3">
      <c r="A34" s="3" t="s">
        <v>26</v>
      </c>
      <c r="B34" s="37">
        <v>5689</v>
      </c>
      <c r="C34" s="37">
        <v>2569</v>
      </c>
      <c r="D34" s="37">
        <v>6587</v>
      </c>
      <c r="E34" s="37">
        <v>8700</v>
      </c>
    </row>
    <row r="35" spans="1:5" x14ac:dyDescent="0.3">
      <c r="A35" s="1" t="s">
        <v>31</v>
      </c>
      <c r="B35" s="42">
        <v>1801.15</v>
      </c>
      <c r="C35" s="42">
        <v>2099.15</v>
      </c>
      <c r="D35" s="42">
        <v>4100.3</v>
      </c>
      <c r="E35" s="42">
        <v>4245</v>
      </c>
    </row>
    <row r="36" spans="1:5" x14ac:dyDescent="0.3">
      <c r="A36" s="1" t="s">
        <v>37</v>
      </c>
      <c r="B36" s="42">
        <v>537.79999999999995</v>
      </c>
      <c r="C36" s="42">
        <v>513.80000000000007</v>
      </c>
      <c r="D36" s="42">
        <v>1617.4</v>
      </c>
      <c r="E36" s="42">
        <v>1740</v>
      </c>
    </row>
    <row r="37" spans="1:5" ht="16.2" x14ac:dyDescent="0.45">
      <c r="A37" s="1" t="s">
        <v>43</v>
      </c>
      <c r="B37" s="62">
        <v>253.35</v>
      </c>
      <c r="C37" s="62">
        <v>385.34999999999997</v>
      </c>
      <c r="D37" s="62">
        <f>D34-D35-D36</f>
        <v>869.29999999999973</v>
      </c>
      <c r="E37" s="62">
        <v>1305</v>
      </c>
    </row>
    <row r="38" spans="1:5" ht="16.2" x14ac:dyDescent="0.45">
      <c r="A38" s="68" t="s">
        <v>47</v>
      </c>
      <c r="B38" s="71">
        <f t="shared" ref="B38:E38" si="7">SUM(B35:B37)</f>
        <v>2592.2999999999997</v>
      </c>
      <c r="C38" s="71">
        <f t="shared" si="7"/>
        <v>2998.3</v>
      </c>
      <c r="D38" s="71">
        <f t="shared" si="7"/>
        <v>6587</v>
      </c>
      <c r="E38" s="71">
        <f t="shared" si="7"/>
        <v>7290</v>
      </c>
    </row>
    <row r="39" spans="1:5" ht="16.2" x14ac:dyDescent="0.45">
      <c r="A39" s="68" t="s">
        <v>49</v>
      </c>
      <c r="B39" s="72">
        <f t="shared" ref="B39:E39" si="8">B34-B38</f>
        <v>3096.7000000000003</v>
      </c>
      <c r="C39" s="72">
        <f t="shared" si="8"/>
        <v>-429.30000000000018</v>
      </c>
      <c r="D39" s="72">
        <f t="shared" si="8"/>
        <v>0</v>
      </c>
      <c r="E39" s="72">
        <f t="shared" si="8"/>
        <v>1410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667-6656-468D-B14A-0A19418020FC}">
  <sheetPr>
    <tabColor rgb="FFFF0000"/>
  </sheetPr>
  <dimension ref="A1:L39"/>
  <sheetViews>
    <sheetView zoomScale="85" zoomScaleNormal="85" workbookViewId="0">
      <selection activeCell="G16" sqref="G16"/>
    </sheetView>
  </sheetViews>
  <sheetFormatPr defaultColWidth="9.109375" defaultRowHeight="14.4" x14ac:dyDescent="0.3"/>
  <cols>
    <col min="1" max="1" width="23.33203125" customWidth="1"/>
    <col min="2" max="5" width="11.33203125" customWidth="1"/>
    <col min="7" max="12" width="13.6640625" customWidth="1"/>
  </cols>
  <sheetData>
    <row r="1" spans="1:12" x14ac:dyDescent="0.3">
      <c r="A1" s="3" t="s">
        <v>53</v>
      </c>
      <c r="G1" s="3" t="s">
        <v>54</v>
      </c>
    </row>
    <row r="3" spans="1:12" x14ac:dyDescent="0.3">
      <c r="B3" s="3" t="s">
        <v>6</v>
      </c>
      <c r="C3" s="3" t="s">
        <v>7</v>
      </c>
      <c r="D3" s="3" t="s">
        <v>8</v>
      </c>
      <c r="E3" s="3" t="s">
        <v>9</v>
      </c>
    </row>
    <row r="4" spans="1:12" ht="15" thickBot="1" x14ac:dyDescent="0.35">
      <c r="A4" s="3" t="s">
        <v>26</v>
      </c>
      <c r="B4" s="48">
        <v>5689</v>
      </c>
      <c r="C4" s="48">
        <v>2569</v>
      </c>
      <c r="D4" s="48">
        <v>6587</v>
      </c>
      <c r="E4" s="48">
        <v>8700</v>
      </c>
    </row>
    <row r="5" spans="1:12" ht="15" thickTop="1" x14ac:dyDescent="0.3">
      <c r="A5" s="1" t="s">
        <v>31</v>
      </c>
      <c r="B5" s="50">
        <v>1801.15</v>
      </c>
      <c r="C5" s="50">
        <v>2099.15</v>
      </c>
      <c r="D5" s="50">
        <v>4100.3</v>
      </c>
      <c r="E5" s="50">
        <v>4245</v>
      </c>
      <c r="G5" s="34" t="s">
        <v>13</v>
      </c>
      <c r="H5" s="35" t="s">
        <v>16</v>
      </c>
      <c r="I5" s="35" t="s">
        <v>17</v>
      </c>
      <c r="J5" s="35" t="s">
        <v>18</v>
      </c>
      <c r="K5" s="35" t="s">
        <v>19</v>
      </c>
      <c r="L5" s="36" t="s">
        <v>20</v>
      </c>
    </row>
    <row r="6" spans="1:12" x14ac:dyDescent="0.3">
      <c r="A6" s="1" t="s">
        <v>37</v>
      </c>
      <c r="B6" s="50">
        <v>537.79999999999995</v>
      </c>
      <c r="C6" s="50">
        <v>513.80000000000007</v>
      </c>
      <c r="D6" s="50">
        <v>1617.4</v>
      </c>
      <c r="E6" s="50">
        <v>1740</v>
      </c>
      <c r="G6" s="38">
        <v>41548</v>
      </c>
      <c r="H6" s="39"/>
      <c r="I6" s="39"/>
      <c r="J6" s="40"/>
      <c r="K6" s="40"/>
      <c r="L6" s="41">
        <v>5000.5</v>
      </c>
    </row>
    <row r="7" spans="1:12" ht="15" thickBot="1" x14ac:dyDescent="0.35">
      <c r="A7" s="1" t="s">
        <v>43</v>
      </c>
      <c r="B7" s="50">
        <v>253.35</v>
      </c>
      <c r="C7" s="50">
        <v>385.34999999999997</v>
      </c>
      <c r="D7" s="50">
        <f>D4-D5-D6</f>
        <v>869.29999999999973</v>
      </c>
      <c r="E7" s="50">
        <v>1305</v>
      </c>
      <c r="G7" s="38">
        <v>41550</v>
      </c>
      <c r="H7" s="39">
        <v>2150</v>
      </c>
      <c r="I7" s="39" t="s">
        <v>35</v>
      </c>
      <c r="J7" s="40">
        <v>500</v>
      </c>
      <c r="K7" s="40"/>
      <c r="L7" s="41">
        <f t="shared" ref="L7:L12" si="0">IF(G7&lt;&gt;"",L6+K7-J7,"")</f>
        <v>4500.5</v>
      </c>
    </row>
    <row r="8" spans="1:12" ht="15" thickBot="1" x14ac:dyDescent="0.35">
      <c r="A8" s="2" t="s">
        <v>47</v>
      </c>
      <c r="B8" s="51">
        <f t="shared" ref="B8:E8" si="1">SUM(B5:B7)</f>
        <v>2592.2999999999997</v>
      </c>
      <c r="C8" s="51">
        <f t="shared" si="1"/>
        <v>2998.3</v>
      </c>
      <c r="D8" s="51">
        <f t="shared" si="1"/>
        <v>6587</v>
      </c>
      <c r="E8" s="51">
        <f t="shared" si="1"/>
        <v>7290</v>
      </c>
      <c r="G8" s="38">
        <v>41550</v>
      </c>
      <c r="H8" s="39" t="s">
        <v>40</v>
      </c>
      <c r="I8" s="39" t="s">
        <v>41</v>
      </c>
      <c r="J8" s="40">
        <v>120</v>
      </c>
      <c r="K8" s="40"/>
      <c r="L8" s="41">
        <f t="shared" si="0"/>
        <v>4380.5</v>
      </c>
    </row>
    <row r="9" spans="1:12" ht="15" thickBot="1" x14ac:dyDescent="0.35">
      <c r="A9" s="63" t="s">
        <v>49</v>
      </c>
      <c r="B9" s="52">
        <f t="shared" ref="B9:E9" si="2">B4-B8</f>
        <v>3096.7000000000003</v>
      </c>
      <c r="C9" s="52">
        <f t="shared" si="2"/>
        <v>-429.30000000000018</v>
      </c>
      <c r="D9" s="52">
        <f t="shared" si="2"/>
        <v>0</v>
      </c>
      <c r="E9" s="52">
        <f t="shared" si="2"/>
        <v>1410</v>
      </c>
      <c r="G9" s="38">
        <v>41551</v>
      </c>
      <c r="H9" s="39"/>
      <c r="I9" s="39" t="s">
        <v>45</v>
      </c>
      <c r="J9" s="40"/>
      <c r="K9" s="40">
        <v>654.25</v>
      </c>
      <c r="L9" s="41">
        <f t="shared" si="0"/>
        <v>5034.75</v>
      </c>
    </row>
    <row r="10" spans="1:12" ht="15" thickTop="1" x14ac:dyDescent="0.3">
      <c r="G10" s="43"/>
      <c r="H10" s="39"/>
      <c r="I10" s="39"/>
      <c r="J10" s="40"/>
      <c r="K10" s="40"/>
      <c r="L10" s="41" t="str">
        <f t="shared" si="0"/>
        <v/>
      </c>
    </row>
    <row r="11" spans="1:12" x14ac:dyDescent="0.3">
      <c r="C11" t="s">
        <v>52</v>
      </c>
      <c r="G11" s="43"/>
      <c r="H11" s="39"/>
      <c r="I11" s="39"/>
      <c r="J11" s="40"/>
      <c r="K11" s="40"/>
      <c r="L11" s="41" t="str">
        <f t="shared" si="0"/>
        <v/>
      </c>
    </row>
    <row r="12" spans="1:12" ht="15" thickBot="1" x14ac:dyDescent="0.35">
      <c r="G12" s="44"/>
      <c r="H12" s="45"/>
      <c r="I12" s="45"/>
      <c r="J12" s="46"/>
      <c r="K12" s="46"/>
      <c r="L12" s="47" t="str">
        <f t="shared" si="0"/>
        <v/>
      </c>
    </row>
    <row r="13" spans="1:12" ht="15" thickTop="1" x14ac:dyDescent="0.3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3">
      <c r="A14" s="3" t="s">
        <v>26</v>
      </c>
      <c r="B14" s="37">
        <v>5689</v>
      </c>
      <c r="C14" s="37">
        <v>2569</v>
      </c>
      <c r="D14" s="37">
        <v>6587</v>
      </c>
      <c r="E14" s="37">
        <v>8700</v>
      </c>
    </row>
    <row r="15" spans="1:12" x14ac:dyDescent="0.3">
      <c r="A15" s="1" t="s">
        <v>31</v>
      </c>
      <c r="B15" s="42">
        <v>1801.15</v>
      </c>
      <c r="C15" s="42">
        <v>2099.15</v>
      </c>
      <c r="D15" s="42">
        <v>4100.3</v>
      </c>
      <c r="E15" s="42">
        <v>4245</v>
      </c>
    </row>
    <row r="16" spans="1:12" x14ac:dyDescent="0.3">
      <c r="A16" s="1" t="s">
        <v>37</v>
      </c>
      <c r="B16" s="42">
        <v>537.79999999999995</v>
      </c>
      <c r="C16" s="42">
        <v>513.80000000000007</v>
      </c>
      <c r="D16" s="42">
        <v>1617.4</v>
      </c>
      <c r="E16" s="42">
        <v>1740</v>
      </c>
    </row>
    <row r="17" spans="1:5" ht="15" thickBot="1" x14ac:dyDescent="0.35">
      <c r="A17" s="1" t="s">
        <v>43</v>
      </c>
      <c r="B17" s="42">
        <v>253.35</v>
      </c>
      <c r="C17" s="42">
        <v>385.34999999999997</v>
      </c>
      <c r="D17" s="42">
        <f>D14-D15-D16</f>
        <v>869.29999999999973</v>
      </c>
      <c r="E17" s="42">
        <v>1305</v>
      </c>
    </row>
    <row r="18" spans="1:5" ht="15" thickBot="1" x14ac:dyDescent="0.35">
      <c r="A18" s="2" t="s">
        <v>47</v>
      </c>
      <c r="B18" s="58">
        <f t="shared" ref="B18:E18" si="3">SUM(B15:B17)</f>
        <v>2592.2999999999997</v>
      </c>
      <c r="C18" s="58">
        <f t="shared" si="3"/>
        <v>2998.3</v>
      </c>
      <c r="D18" s="58">
        <f t="shared" si="3"/>
        <v>6587</v>
      </c>
      <c r="E18" s="58">
        <f t="shared" si="3"/>
        <v>7290</v>
      </c>
    </row>
    <row r="19" spans="1:5" ht="15" thickBot="1" x14ac:dyDescent="0.35">
      <c r="A19" s="63" t="s">
        <v>49</v>
      </c>
      <c r="B19" s="59">
        <f t="shared" ref="B19:E19" si="4">B14-B18</f>
        <v>3096.7000000000003</v>
      </c>
      <c r="C19" s="59">
        <f t="shared" si="4"/>
        <v>-429.30000000000018</v>
      </c>
      <c r="D19" s="59">
        <f t="shared" si="4"/>
        <v>0</v>
      </c>
      <c r="E19" s="59">
        <f t="shared" si="4"/>
        <v>1410</v>
      </c>
    </row>
    <row r="20" spans="1:5" ht="15" thickTop="1" x14ac:dyDescent="0.3"/>
    <row r="21" spans="1:5" x14ac:dyDescent="0.3">
      <c r="C21" t="s">
        <v>52</v>
      </c>
    </row>
    <row r="23" spans="1:5" x14ac:dyDescent="0.3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3">
      <c r="A24" s="3" t="s">
        <v>26</v>
      </c>
      <c r="B24" s="37">
        <v>5689</v>
      </c>
      <c r="C24" s="37">
        <v>2569</v>
      </c>
      <c r="D24" s="37">
        <v>6587</v>
      </c>
      <c r="E24" s="37">
        <v>8700</v>
      </c>
    </row>
    <row r="25" spans="1:5" x14ac:dyDescent="0.3">
      <c r="A25" s="1" t="s">
        <v>31</v>
      </c>
      <c r="B25" s="42">
        <v>1801.15</v>
      </c>
      <c r="C25" s="42">
        <v>2099.15</v>
      </c>
      <c r="D25" s="42">
        <v>4100.3</v>
      </c>
      <c r="E25" s="42">
        <v>4245</v>
      </c>
    </row>
    <row r="26" spans="1:5" x14ac:dyDescent="0.3">
      <c r="A26" s="1" t="s">
        <v>37</v>
      </c>
      <c r="B26" s="42">
        <v>537.79999999999995</v>
      </c>
      <c r="C26" s="42">
        <v>513.80000000000007</v>
      </c>
      <c r="D26" s="42">
        <v>1617.4</v>
      </c>
      <c r="E26" s="42">
        <v>1740</v>
      </c>
    </row>
    <row r="27" spans="1:5" x14ac:dyDescent="0.3">
      <c r="A27" s="1" t="s">
        <v>43</v>
      </c>
      <c r="B27" s="61">
        <v>253.35</v>
      </c>
      <c r="C27" s="61">
        <v>385.34999999999997</v>
      </c>
      <c r="D27" s="61">
        <f>D24-D25-D26</f>
        <v>869.29999999999973</v>
      </c>
      <c r="E27" s="61">
        <v>1305</v>
      </c>
    </row>
    <row r="28" spans="1:5" x14ac:dyDescent="0.3">
      <c r="A28" s="3" t="s">
        <v>47</v>
      </c>
      <c r="B28" s="66">
        <f t="shared" ref="B28:E28" si="5">SUM(B25:B27)</f>
        <v>2592.2999999999997</v>
      </c>
      <c r="C28" s="66">
        <f t="shared" si="5"/>
        <v>2998.3</v>
      </c>
      <c r="D28" s="66">
        <f t="shared" si="5"/>
        <v>6587</v>
      </c>
      <c r="E28" s="66">
        <f t="shared" si="5"/>
        <v>7290</v>
      </c>
    </row>
    <row r="29" spans="1:5" x14ac:dyDescent="0.3">
      <c r="A29" s="3" t="s">
        <v>49</v>
      </c>
      <c r="B29" s="67">
        <f t="shared" ref="B29:E29" si="6">B24-B28</f>
        <v>3096.7000000000003</v>
      </c>
      <c r="C29" s="67">
        <f t="shared" si="6"/>
        <v>-429.30000000000018</v>
      </c>
      <c r="D29" s="67">
        <f t="shared" si="6"/>
        <v>0</v>
      </c>
      <c r="E29" s="67">
        <f t="shared" si="6"/>
        <v>1410</v>
      </c>
    </row>
    <row r="31" spans="1:5" x14ac:dyDescent="0.3">
      <c r="C31" t="s">
        <v>52</v>
      </c>
    </row>
    <row r="33" spans="1:5" x14ac:dyDescent="0.3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3">
      <c r="A34" s="3" t="s">
        <v>26</v>
      </c>
      <c r="B34" s="37">
        <v>5689</v>
      </c>
      <c r="C34" s="37">
        <v>2569</v>
      </c>
      <c r="D34" s="37">
        <v>6587</v>
      </c>
      <c r="E34" s="37">
        <v>8700</v>
      </c>
    </row>
    <row r="35" spans="1:5" x14ac:dyDescent="0.3">
      <c r="A35" s="1" t="s">
        <v>31</v>
      </c>
      <c r="B35" s="42">
        <v>1801.15</v>
      </c>
      <c r="C35" s="42">
        <v>2099.15</v>
      </c>
      <c r="D35" s="42">
        <v>4100.3</v>
      </c>
      <c r="E35" s="42">
        <v>4245</v>
      </c>
    </row>
    <row r="36" spans="1:5" x14ac:dyDescent="0.3">
      <c r="A36" s="1" t="s">
        <v>37</v>
      </c>
      <c r="B36" s="42">
        <v>537.79999999999995</v>
      </c>
      <c r="C36" s="42">
        <v>513.80000000000007</v>
      </c>
      <c r="D36" s="42">
        <v>1617.4</v>
      </c>
      <c r="E36" s="42">
        <v>1740</v>
      </c>
    </row>
    <row r="37" spans="1:5" ht="16.2" x14ac:dyDescent="0.45">
      <c r="A37" s="1" t="s">
        <v>43</v>
      </c>
      <c r="B37" s="62">
        <v>253.35</v>
      </c>
      <c r="C37" s="62">
        <v>385.34999999999997</v>
      </c>
      <c r="D37" s="62">
        <f>D34-D35-D36</f>
        <v>869.29999999999973</v>
      </c>
      <c r="E37" s="62">
        <v>1305</v>
      </c>
    </row>
    <row r="38" spans="1:5" ht="16.2" x14ac:dyDescent="0.45">
      <c r="A38" s="3" t="s">
        <v>47</v>
      </c>
      <c r="B38" s="64">
        <f t="shared" ref="B38:E38" si="7">SUM(B35:B37)</f>
        <v>2592.2999999999997</v>
      </c>
      <c r="C38" s="64">
        <f t="shared" si="7"/>
        <v>2998.3</v>
      </c>
      <c r="D38" s="64">
        <f t="shared" si="7"/>
        <v>6587</v>
      </c>
      <c r="E38" s="64">
        <f t="shared" si="7"/>
        <v>7290</v>
      </c>
    </row>
    <row r="39" spans="1:5" ht="16.2" x14ac:dyDescent="0.45">
      <c r="A39" s="3" t="s">
        <v>49</v>
      </c>
      <c r="B39" s="65">
        <f t="shared" ref="B39:E39" si="8">B34-B38</f>
        <v>3096.7000000000003</v>
      </c>
      <c r="C39" s="65">
        <f t="shared" si="8"/>
        <v>-429.30000000000018</v>
      </c>
      <c r="D39" s="65">
        <f t="shared" si="8"/>
        <v>0</v>
      </c>
      <c r="E39" s="65">
        <f t="shared" si="8"/>
        <v>1410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ECDCE-80A1-4D97-88B9-CC9BB00582FC}">
  <sheetPr>
    <tabColor rgb="FF0000FF"/>
  </sheetPr>
  <dimension ref="A1:C11"/>
  <sheetViews>
    <sheetView zoomScale="160" zoomScaleNormal="160" workbookViewId="0">
      <selection activeCell="F6" sqref="F6"/>
    </sheetView>
  </sheetViews>
  <sheetFormatPr defaultRowHeight="14.4" x14ac:dyDescent="0.3"/>
  <cols>
    <col min="1" max="1" width="11.5546875" customWidth="1"/>
    <col min="2" max="2" width="11.44140625" bestFit="1" customWidth="1"/>
    <col min="3" max="3" width="9.109375" bestFit="1" customWidth="1"/>
  </cols>
  <sheetData>
    <row r="1" spans="1:3" x14ac:dyDescent="0.3">
      <c r="A1" s="3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1">
        <v>41576</v>
      </c>
      <c r="B5" t="s">
        <v>29</v>
      </c>
      <c r="C5" s="50">
        <v>13490</v>
      </c>
    </row>
    <row r="6" spans="1:3" x14ac:dyDescent="0.3">
      <c r="A6" s="31">
        <v>41576</v>
      </c>
      <c r="B6" t="s">
        <v>34</v>
      </c>
      <c r="C6" s="50">
        <v>9077</v>
      </c>
    </row>
    <row r="7" spans="1:3" x14ac:dyDescent="0.3">
      <c r="A7" s="31">
        <v>41576</v>
      </c>
      <c r="B7" t="s">
        <v>29</v>
      </c>
      <c r="C7" s="50">
        <v>10167</v>
      </c>
    </row>
    <row r="8" spans="1:3" x14ac:dyDescent="0.3">
      <c r="A8" s="31">
        <v>41576</v>
      </c>
      <c r="B8" t="s">
        <v>29</v>
      </c>
      <c r="C8" s="50">
        <v>13248</v>
      </c>
    </row>
    <row r="9" spans="1:3" x14ac:dyDescent="0.3">
      <c r="A9" s="31">
        <v>41576</v>
      </c>
      <c r="B9" t="s">
        <v>34</v>
      </c>
      <c r="C9" s="50">
        <v>6360</v>
      </c>
    </row>
    <row r="10" spans="1:3" x14ac:dyDescent="0.3">
      <c r="A10" s="31">
        <v>41576</v>
      </c>
      <c r="B10" t="s">
        <v>34</v>
      </c>
      <c r="C10" s="50">
        <v>11740</v>
      </c>
    </row>
    <row r="11" spans="1:3" x14ac:dyDescent="0.3">
      <c r="A11" s="31">
        <v>41576</v>
      </c>
      <c r="B11" t="s">
        <v>29</v>
      </c>
      <c r="C11" s="50">
        <v>5325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F333-8527-4225-9DC1-85DA6A8FBD35}">
  <sheetPr>
    <tabColor rgb="FFFF0000"/>
  </sheetPr>
  <dimension ref="A1:C11"/>
  <sheetViews>
    <sheetView zoomScale="190" zoomScaleNormal="190" workbookViewId="0">
      <selection activeCell="B8" sqref="B8"/>
    </sheetView>
  </sheetViews>
  <sheetFormatPr defaultColWidth="18.6640625" defaultRowHeight="14.4" x14ac:dyDescent="0.3"/>
  <cols>
    <col min="1" max="1" width="13.5546875" customWidth="1"/>
    <col min="2" max="2" width="15" customWidth="1"/>
    <col min="3" max="3" width="11.44140625" customWidth="1"/>
  </cols>
  <sheetData>
    <row r="1" spans="1:3" x14ac:dyDescent="0.3">
      <c r="A1" s="3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1">
        <v>41576</v>
      </c>
      <c r="B5" t="s">
        <v>29</v>
      </c>
      <c r="C5" s="50">
        <v>13490</v>
      </c>
    </row>
    <row r="6" spans="1:3" x14ac:dyDescent="0.3">
      <c r="A6" s="31">
        <v>41576</v>
      </c>
      <c r="B6" t="s">
        <v>34</v>
      </c>
      <c r="C6" s="50">
        <v>9077</v>
      </c>
    </row>
    <row r="7" spans="1:3" x14ac:dyDescent="0.3">
      <c r="A7" s="31">
        <v>41576</v>
      </c>
      <c r="B7" t="s">
        <v>29</v>
      </c>
      <c r="C7" s="50">
        <v>10167</v>
      </c>
    </row>
    <row r="8" spans="1:3" x14ac:dyDescent="0.3">
      <c r="A8" s="31">
        <v>41576</v>
      </c>
      <c r="B8" t="s">
        <v>29</v>
      </c>
      <c r="C8" s="50">
        <v>13248</v>
      </c>
    </row>
    <row r="9" spans="1:3" x14ac:dyDescent="0.3">
      <c r="A9" s="31">
        <v>41576</v>
      </c>
      <c r="B9" t="s">
        <v>34</v>
      </c>
      <c r="C9" s="50">
        <v>6360</v>
      </c>
    </row>
    <row r="10" spans="1:3" x14ac:dyDescent="0.3">
      <c r="A10" s="31">
        <v>41576</v>
      </c>
      <c r="B10" t="s">
        <v>34</v>
      </c>
      <c r="C10" s="50">
        <v>11740</v>
      </c>
    </row>
    <row r="11" spans="1:3" x14ac:dyDescent="0.3">
      <c r="A11" s="31">
        <v>41576</v>
      </c>
      <c r="B11" t="s">
        <v>29</v>
      </c>
      <c r="C11" s="50">
        <v>5325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D2E1-5A21-43FF-8A08-5FF67D151593}">
  <sheetPr>
    <tabColor rgb="FF0000FF"/>
  </sheetPr>
  <dimension ref="A1:C13"/>
  <sheetViews>
    <sheetView zoomScale="160" zoomScaleNormal="160" workbookViewId="0">
      <selection activeCell="A5" sqref="A5"/>
    </sheetView>
  </sheetViews>
  <sheetFormatPr defaultRowHeight="14.4" x14ac:dyDescent="0.3"/>
  <cols>
    <col min="1" max="1" width="21" customWidth="1"/>
    <col min="2" max="2" width="14.44140625" bestFit="1" customWidth="1"/>
    <col min="3" max="3" width="11.33203125" customWidth="1"/>
    <col min="5" max="5" width="17.109375" customWidth="1"/>
  </cols>
  <sheetData>
    <row r="1" spans="1:3" x14ac:dyDescent="0.3">
      <c r="A1" s="3" t="s">
        <v>63</v>
      </c>
    </row>
    <row r="2" spans="1:3" x14ac:dyDescent="0.3">
      <c r="A2" t="s">
        <v>3</v>
      </c>
    </row>
    <row r="3" spans="1:3" x14ac:dyDescent="0.3">
      <c r="A3" t="s">
        <v>56</v>
      </c>
    </row>
    <row r="5" spans="1:3" ht="57.6" x14ac:dyDescent="0.3">
      <c r="A5" s="53" t="s">
        <v>69</v>
      </c>
      <c r="B5" s="73" t="s">
        <v>11</v>
      </c>
      <c r="C5" s="28" t="s">
        <v>12</v>
      </c>
    </row>
    <row r="6" spans="1:3" x14ac:dyDescent="0.3">
      <c r="A6" s="28" t="s">
        <v>27</v>
      </c>
      <c r="B6" s="28" t="s">
        <v>28</v>
      </c>
      <c r="C6" s="30">
        <v>505</v>
      </c>
    </row>
    <row r="7" spans="1:3" x14ac:dyDescent="0.3">
      <c r="A7" s="28" t="s">
        <v>32</v>
      </c>
      <c r="B7" s="28" t="s">
        <v>33</v>
      </c>
      <c r="C7" s="30">
        <v>657</v>
      </c>
    </row>
    <row r="8" spans="1:3" x14ac:dyDescent="0.3">
      <c r="A8" s="28" t="s">
        <v>38</v>
      </c>
      <c r="B8" s="28" t="s">
        <v>39</v>
      </c>
      <c r="C8" s="30">
        <v>329</v>
      </c>
    </row>
    <row r="9" spans="1:3" x14ac:dyDescent="0.3">
      <c r="A9" s="28" t="s">
        <v>27</v>
      </c>
      <c r="B9" s="28" t="s">
        <v>44</v>
      </c>
      <c r="C9" s="30">
        <v>618</v>
      </c>
    </row>
    <row r="10" spans="1:3" x14ac:dyDescent="0.3">
      <c r="A10" s="28" t="s">
        <v>32</v>
      </c>
      <c r="B10" s="28" t="s">
        <v>44</v>
      </c>
      <c r="C10" s="30">
        <v>888</v>
      </c>
    </row>
    <row r="11" spans="1:3" x14ac:dyDescent="0.3">
      <c r="A11" s="28" t="s">
        <v>32</v>
      </c>
      <c r="B11" s="28" t="s">
        <v>33</v>
      </c>
      <c r="C11" s="30">
        <v>138</v>
      </c>
    </row>
    <row r="12" spans="1:3" x14ac:dyDescent="0.3">
      <c r="A12" s="28" t="s">
        <v>51</v>
      </c>
      <c r="B12" s="28" t="s">
        <v>39</v>
      </c>
      <c r="C12" s="30">
        <v>125</v>
      </c>
    </row>
    <row r="13" spans="1:3" x14ac:dyDescent="0.3">
      <c r="A13" s="28" t="s">
        <v>51</v>
      </c>
      <c r="B13" s="28" t="s">
        <v>39</v>
      </c>
      <c r="C13" s="30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692-3F75-421F-9CAC-5EB4D2AB3E68}">
  <sheetPr>
    <tabColor rgb="FFFF0000"/>
  </sheetPr>
  <dimension ref="A1:E15"/>
  <sheetViews>
    <sheetView zoomScale="190" zoomScaleNormal="190" workbookViewId="0">
      <selection activeCell="A5" sqref="A5"/>
    </sheetView>
  </sheetViews>
  <sheetFormatPr defaultColWidth="9.109375" defaultRowHeight="14.4" x14ac:dyDescent="0.3"/>
  <cols>
    <col min="1" max="1" width="20.88671875" customWidth="1"/>
    <col min="2" max="3" width="11.33203125" customWidth="1"/>
    <col min="5" max="5" width="17.109375" customWidth="1"/>
  </cols>
  <sheetData>
    <row r="1" spans="1:5" x14ac:dyDescent="0.3">
      <c r="A1" s="3" t="s">
        <v>63</v>
      </c>
    </row>
    <row r="2" spans="1:5" x14ac:dyDescent="0.3">
      <c r="A2" t="s">
        <v>3</v>
      </c>
    </row>
    <row r="3" spans="1:5" x14ac:dyDescent="0.3">
      <c r="A3" t="s">
        <v>56</v>
      </c>
    </row>
    <row r="5" spans="1:5" ht="28.8" x14ac:dyDescent="0.3">
      <c r="A5" s="53" t="s">
        <v>10</v>
      </c>
      <c r="B5" s="53" t="s">
        <v>11</v>
      </c>
      <c r="C5" s="53" t="s">
        <v>12</v>
      </c>
    </row>
    <row r="6" spans="1:5" x14ac:dyDescent="0.3">
      <c r="A6" s="28" t="s">
        <v>27</v>
      </c>
      <c r="B6" s="28" t="s">
        <v>28</v>
      </c>
      <c r="C6" s="30">
        <v>505</v>
      </c>
    </row>
    <row r="7" spans="1:5" x14ac:dyDescent="0.3">
      <c r="A7" s="28" t="s">
        <v>32</v>
      </c>
      <c r="B7" s="28" t="s">
        <v>33</v>
      </c>
      <c r="C7" s="30">
        <v>657</v>
      </c>
    </row>
    <row r="8" spans="1:5" x14ac:dyDescent="0.3">
      <c r="A8" s="28" t="s">
        <v>38</v>
      </c>
      <c r="B8" s="28" t="s">
        <v>39</v>
      </c>
      <c r="C8" s="30">
        <v>329</v>
      </c>
    </row>
    <row r="9" spans="1:5" x14ac:dyDescent="0.3">
      <c r="A9" s="28" t="s">
        <v>27</v>
      </c>
      <c r="B9" s="28" t="s">
        <v>44</v>
      </c>
      <c r="C9" s="30">
        <v>618</v>
      </c>
    </row>
    <row r="10" spans="1:5" x14ac:dyDescent="0.3">
      <c r="A10" s="28" t="s">
        <v>32</v>
      </c>
      <c r="B10" s="28" t="s">
        <v>44</v>
      </c>
      <c r="C10" s="30">
        <v>888</v>
      </c>
    </row>
    <row r="11" spans="1:5" x14ac:dyDescent="0.3">
      <c r="A11" s="28" t="s">
        <v>32</v>
      </c>
      <c r="B11" s="28" t="s">
        <v>33</v>
      </c>
      <c r="C11" s="30">
        <v>138</v>
      </c>
    </row>
    <row r="12" spans="1:5" x14ac:dyDescent="0.3">
      <c r="A12" s="28" t="s">
        <v>51</v>
      </c>
      <c r="B12" s="28" t="s">
        <v>39</v>
      </c>
      <c r="C12" s="30">
        <v>125</v>
      </c>
    </row>
    <row r="13" spans="1:5" x14ac:dyDescent="0.3">
      <c r="A13" s="28" t="s">
        <v>51</v>
      </c>
      <c r="B13" s="28" t="s">
        <v>39</v>
      </c>
      <c r="C13" s="30">
        <v>238</v>
      </c>
    </row>
    <row r="15" spans="1:5" ht="28.8" x14ac:dyDescent="0.3">
      <c r="E15" s="49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4E71-2015-4F72-9FAA-12599B073C62}">
  <sheetPr>
    <tabColor rgb="FF0000FF"/>
  </sheetPr>
  <dimension ref="A1:C12"/>
  <sheetViews>
    <sheetView zoomScale="160" zoomScaleNormal="160" workbookViewId="0">
      <selection activeCell="C7" sqref="C7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3" t="s">
        <v>62</v>
      </c>
    </row>
    <row r="2" spans="1:3" x14ac:dyDescent="0.3">
      <c r="A2" s="3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31">
        <v>41576</v>
      </c>
      <c r="B6" t="s">
        <v>29</v>
      </c>
      <c r="C6" s="60">
        <v>13490</v>
      </c>
    </row>
    <row r="7" spans="1:3" x14ac:dyDescent="0.3">
      <c r="A7" s="31">
        <v>41576</v>
      </c>
      <c r="B7" t="s">
        <v>34</v>
      </c>
      <c r="C7" s="60">
        <v>9077</v>
      </c>
    </row>
    <row r="8" spans="1:3" x14ac:dyDescent="0.3">
      <c r="A8" s="31">
        <v>41576</v>
      </c>
      <c r="B8" t="s">
        <v>29</v>
      </c>
      <c r="C8" s="60">
        <v>10167</v>
      </c>
    </row>
    <row r="9" spans="1:3" x14ac:dyDescent="0.3">
      <c r="A9" s="31">
        <v>41576</v>
      </c>
      <c r="B9" t="s">
        <v>29</v>
      </c>
      <c r="C9" s="60">
        <v>13248</v>
      </c>
    </row>
    <row r="10" spans="1:3" x14ac:dyDescent="0.3">
      <c r="A10" s="31">
        <v>41576</v>
      </c>
      <c r="B10" t="s">
        <v>34</v>
      </c>
      <c r="C10" s="60">
        <v>6360</v>
      </c>
    </row>
    <row r="11" spans="1:3" x14ac:dyDescent="0.3">
      <c r="A11" s="31">
        <v>41576</v>
      </c>
      <c r="B11" t="s">
        <v>34</v>
      </c>
      <c r="C11" s="60">
        <v>11740</v>
      </c>
    </row>
    <row r="12" spans="1:3" x14ac:dyDescent="0.3">
      <c r="A12" s="31">
        <v>41576</v>
      </c>
      <c r="B12" t="s">
        <v>29</v>
      </c>
      <c r="C12" s="60">
        <v>5325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1140-D956-4A87-B663-FE4A56614342}">
  <sheetPr>
    <tabColor rgb="FFFF0000"/>
  </sheetPr>
  <dimension ref="A1:C12"/>
  <sheetViews>
    <sheetView zoomScale="160" zoomScaleNormal="160" workbookViewId="0">
      <selection activeCell="B8" sqref="B8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3" t="s">
        <v>62</v>
      </c>
    </row>
    <row r="2" spans="1:3" x14ac:dyDescent="0.3">
      <c r="A2" s="3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31">
        <v>41576</v>
      </c>
      <c r="B6" t="s">
        <v>29</v>
      </c>
      <c r="C6" s="48">
        <v>13490</v>
      </c>
    </row>
    <row r="7" spans="1:3" x14ac:dyDescent="0.3">
      <c r="A7" s="31">
        <v>41576</v>
      </c>
      <c r="B7" t="s">
        <v>34</v>
      </c>
      <c r="C7" s="48">
        <v>9077</v>
      </c>
    </row>
    <row r="8" spans="1:3" x14ac:dyDescent="0.3">
      <c r="A8" s="31">
        <v>41576</v>
      </c>
      <c r="B8" t="s">
        <v>29</v>
      </c>
      <c r="C8" s="48">
        <v>10167</v>
      </c>
    </row>
    <row r="9" spans="1:3" x14ac:dyDescent="0.3">
      <c r="A9" s="31">
        <v>41576</v>
      </c>
      <c r="B9" t="s">
        <v>29</v>
      </c>
      <c r="C9" s="48">
        <v>13248</v>
      </c>
    </row>
    <row r="10" spans="1:3" x14ac:dyDescent="0.3">
      <c r="A10" s="31">
        <v>41576</v>
      </c>
      <c r="B10" t="s">
        <v>34</v>
      </c>
      <c r="C10" s="48">
        <v>6360</v>
      </c>
    </row>
    <row r="11" spans="1:3" x14ac:dyDescent="0.3">
      <c r="A11" s="31">
        <v>41576</v>
      </c>
      <c r="B11" t="s">
        <v>34</v>
      </c>
      <c r="C11" s="48">
        <v>11740</v>
      </c>
    </row>
    <row r="12" spans="1:3" x14ac:dyDescent="0.3">
      <c r="A12" s="31">
        <v>41576</v>
      </c>
      <c r="B12" t="s">
        <v>29</v>
      </c>
      <c r="C12" s="48">
        <v>5325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4ED6-162F-4205-A6AD-7C8EBF07031D}">
  <sheetPr>
    <tabColor rgb="FF0000FF"/>
  </sheetPr>
  <dimension ref="A1:G13"/>
  <sheetViews>
    <sheetView zoomScale="175" zoomScaleNormal="175" workbookViewId="0">
      <selection activeCell="F1" sqref="F1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3" t="s">
        <v>64</v>
      </c>
    </row>
    <row r="2" spans="1:7" x14ac:dyDescent="0.3">
      <c r="A2" s="3" t="s">
        <v>65</v>
      </c>
    </row>
    <row r="5" spans="1:7" ht="28.8" x14ac:dyDescent="0.3">
      <c r="A5" s="74" t="s">
        <v>13</v>
      </c>
      <c r="B5" s="74" t="s">
        <v>14</v>
      </c>
      <c r="C5" s="74" t="s">
        <v>15</v>
      </c>
      <c r="E5" s="74" t="s">
        <v>57</v>
      </c>
      <c r="F5" s="74" t="s">
        <v>11</v>
      </c>
      <c r="G5" s="74" t="s">
        <v>12</v>
      </c>
    </row>
    <row r="6" spans="1:7" x14ac:dyDescent="0.3">
      <c r="A6" s="31">
        <v>41576</v>
      </c>
      <c r="B6" t="s">
        <v>29</v>
      </c>
      <c r="C6" s="32">
        <v>13490</v>
      </c>
      <c r="E6" s="28" t="s">
        <v>27</v>
      </c>
      <c r="F6" s="28" t="s">
        <v>28</v>
      </c>
      <c r="G6" s="30">
        <v>505</v>
      </c>
    </row>
    <row r="7" spans="1:7" x14ac:dyDescent="0.3">
      <c r="A7" s="31">
        <v>41576</v>
      </c>
      <c r="B7" t="s">
        <v>34</v>
      </c>
      <c r="C7" s="32">
        <v>9077</v>
      </c>
      <c r="E7" s="28" t="s">
        <v>32</v>
      </c>
      <c r="F7" s="28" t="s">
        <v>33</v>
      </c>
      <c r="G7" s="30">
        <v>657</v>
      </c>
    </row>
    <row r="8" spans="1:7" x14ac:dyDescent="0.3">
      <c r="A8" s="31">
        <v>41576</v>
      </c>
      <c r="B8" t="s">
        <v>29</v>
      </c>
      <c r="C8" s="32">
        <v>10167</v>
      </c>
      <c r="E8" s="28" t="s">
        <v>38</v>
      </c>
      <c r="F8" s="28" t="s">
        <v>39</v>
      </c>
      <c r="G8" s="30">
        <v>329</v>
      </c>
    </row>
    <row r="9" spans="1:7" x14ac:dyDescent="0.3">
      <c r="A9" s="31">
        <v>41576</v>
      </c>
      <c r="B9" t="s">
        <v>29</v>
      </c>
      <c r="C9" s="32">
        <v>13248</v>
      </c>
      <c r="E9" s="28" t="s">
        <v>27</v>
      </c>
      <c r="F9" s="28" t="s">
        <v>44</v>
      </c>
      <c r="G9" s="30">
        <v>618</v>
      </c>
    </row>
    <row r="10" spans="1:7" x14ac:dyDescent="0.3">
      <c r="A10" s="31">
        <v>41576</v>
      </c>
      <c r="B10" t="s">
        <v>34</v>
      </c>
      <c r="C10" s="32">
        <v>6360</v>
      </c>
      <c r="E10" s="28" t="s">
        <v>32</v>
      </c>
      <c r="F10" s="28" t="s">
        <v>44</v>
      </c>
      <c r="G10" s="30">
        <v>888</v>
      </c>
    </row>
    <row r="11" spans="1:7" x14ac:dyDescent="0.3">
      <c r="A11" s="31">
        <v>41576</v>
      </c>
      <c r="B11" t="s">
        <v>34</v>
      </c>
      <c r="C11" s="32">
        <v>11740</v>
      </c>
      <c r="E11" s="28" t="s">
        <v>32</v>
      </c>
      <c r="F11" s="28" t="s">
        <v>33</v>
      </c>
      <c r="G11" s="30">
        <v>138</v>
      </c>
    </row>
    <row r="12" spans="1:7" x14ac:dyDescent="0.3">
      <c r="A12" s="31">
        <v>41576</v>
      </c>
      <c r="B12" t="s">
        <v>29</v>
      </c>
      <c r="C12" s="32">
        <v>5325</v>
      </c>
      <c r="E12" s="28" t="s">
        <v>51</v>
      </c>
      <c r="F12" s="28" t="s">
        <v>39</v>
      </c>
      <c r="G12" s="30">
        <v>125</v>
      </c>
    </row>
    <row r="13" spans="1:7" x14ac:dyDescent="0.3">
      <c r="E13" s="28" t="s">
        <v>51</v>
      </c>
      <c r="F13" s="28" t="s">
        <v>39</v>
      </c>
      <c r="G13" s="30"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CD40-F687-40C3-A6BE-FD16D0BAE8C5}">
  <sheetPr>
    <tabColor rgb="FFFF0000"/>
  </sheetPr>
  <dimension ref="A1:G13"/>
  <sheetViews>
    <sheetView zoomScale="190" zoomScaleNormal="190" workbookViewId="0">
      <selection activeCell="A3" sqref="A3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3" t="s">
        <v>64</v>
      </c>
    </row>
    <row r="2" spans="1:7" x14ac:dyDescent="0.3">
      <c r="A2" s="3" t="s">
        <v>65</v>
      </c>
    </row>
    <row r="5" spans="1:7" x14ac:dyDescent="0.3">
      <c r="A5" t="s">
        <v>13</v>
      </c>
      <c r="B5" t="s">
        <v>14</v>
      </c>
      <c r="C5" t="s">
        <v>15</v>
      </c>
      <c r="E5" s="53" t="s">
        <v>57</v>
      </c>
      <c r="F5" s="28" t="s">
        <v>11</v>
      </c>
      <c r="G5" s="28" t="s">
        <v>12</v>
      </c>
    </row>
    <row r="6" spans="1:7" x14ac:dyDescent="0.3">
      <c r="A6" s="31">
        <v>41576</v>
      </c>
      <c r="B6" t="s">
        <v>29</v>
      </c>
      <c r="C6" s="32">
        <v>13490</v>
      </c>
      <c r="E6" s="28" t="s">
        <v>27</v>
      </c>
      <c r="F6" s="28" t="s">
        <v>28</v>
      </c>
      <c r="G6" s="30">
        <v>505</v>
      </c>
    </row>
    <row r="7" spans="1:7" x14ac:dyDescent="0.3">
      <c r="A7" s="31">
        <v>41576</v>
      </c>
      <c r="B7" t="s">
        <v>34</v>
      </c>
      <c r="C7" s="32">
        <v>9077</v>
      </c>
      <c r="E7" s="28" t="s">
        <v>32</v>
      </c>
      <c r="F7" s="28" t="s">
        <v>33</v>
      </c>
      <c r="G7" s="30">
        <v>657</v>
      </c>
    </row>
    <row r="8" spans="1:7" x14ac:dyDescent="0.3">
      <c r="A8" s="31">
        <v>41576</v>
      </c>
      <c r="B8" t="s">
        <v>29</v>
      </c>
      <c r="C8" s="32">
        <v>10167</v>
      </c>
      <c r="E8" s="28" t="s">
        <v>38</v>
      </c>
      <c r="F8" s="28" t="s">
        <v>39</v>
      </c>
      <c r="G8" s="30">
        <v>329</v>
      </c>
    </row>
    <row r="9" spans="1:7" x14ac:dyDescent="0.3">
      <c r="A9" s="31">
        <v>41576</v>
      </c>
      <c r="B9" t="s">
        <v>29</v>
      </c>
      <c r="C9" s="32">
        <v>13248</v>
      </c>
      <c r="E9" s="28" t="s">
        <v>27</v>
      </c>
      <c r="F9" s="28" t="s">
        <v>44</v>
      </c>
      <c r="G9" s="30">
        <v>618</v>
      </c>
    </row>
    <row r="10" spans="1:7" x14ac:dyDescent="0.3">
      <c r="A10" s="31">
        <v>41576</v>
      </c>
      <c r="B10" t="s">
        <v>34</v>
      </c>
      <c r="C10" s="32">
        <v>6360</v>
      </c>
      <c r="E10" s="28" t="s">
        <v>32</v>
      </c>
      <c r="F10" s="28" t="s">
        <v>44</v>
      </c>
      <c r="G10" s="30">
        <v>888</v>
      </c>
    </row>
    <row r="11" spans="1:7" x14ac:dyDescent="0.3">
      <c r="A11" s="31">
        <v>41576</v>
      </c>
      <c r="B11" t="s">
        <v>34</v>
      </c>
      <c r="C11" s="32">
        <v>11740</v>
      </c>
      <c r="E11" s="28" t="s">
        <v>32</v>
      </c>
      <c r="F11" s="28" t="s">
        <v>33</v>
      </c>
      <c r="G11" s="30">
        <v>138</v>
      </c>
    </row>
    <row r="12" spans="1:7" x14ac:dyDescent="0.3">
      <c r="A12" s="31">
        <v>41576</v>
      </c>
      <c r="B12" t="s">
        <v>29</v>
      </c>
      <c r="C12" s="32">
        <v>5325</v>
      </c>
      <c r="E12" s="28" t="s">
        <v>51</v>
      </c>
      <c r="F12" s="28" t="s">
        <v>39</v>
      </c>
      <c r="G12" s="30">
        <v>125</v>
      </c>
    </row>
    <row r="13" spans="1:7" x14ac:dyDescent="0.3">
      <c r="E13" s="28" t="s">
        <v>51</v>
      </c>
      <c r="F13" s="28" t="s">
        <v>39</v>
      </c>
      <c r="G13" s="30"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1FAE0-C68F-415B-BAA7-5AA14AE38765}">
  <sheetPr>
    <tabColor rgb="FF0000FF"/>
  </sheetPr>
  <dimension ref="A1:K19"/>
  <sheetViews>
    <sheetView tabSelected="1" zoomScale="130" zoomScaleNormal="130" workbookViewId="0">
      <selection activeCell="I5" sqref="I5"/>
    </sheetView>
  </sheetViews>
  <sheetFormatPr defaultRowHeight="14.4" x14ac:dyDescent="0.3"/>
  <cols>
    <col min="1" max="1" width="11.5546875" customWidth="1"/>
    <col min="3" max="3" width="11.5546875" customWidth="1"/>
    <col min="5" max="5" width="11.5546875" customWidth="1"/>
    <col min="8" max="8" width="14.33203125" customWidth="1"/>
    <col min="9" max="9" width="14" customWidth="1"/>
  </cols>
  <sheetData>
    <row r="1" spans="1:11" x14ac:dyDescent="0.3">
      <c r="A1" s="3" t="s">
        <v>66</v>
      </c>
    </row>
    <row r="2" spans="1:11" x14ac:dyDescent="0.3">
      <c r="A2" s="3"/>
      <c r="E2" s="26" t="s">
        <v>2</v>
      </c>
      <c r="F2" s="27">
        <v>10000</v>
      </c>
    </row>
    <row r="4" spans="1:11" x14ac:dyDescent="0.3">
      <c r="A4" t="s">
        <v>4</v>
      </c>
      <c r="C4" t="s">
        <v>61</v>
      </c>
      <c r="E4" t="str">
        <f>"Greater than "&amp;FIXED(F2,0)</f>
        <v>Greater than 10,000</v>
      </c>
      <c r="H4" t="s">
        <v>5</v>
      </c>
    </row>
    <row r="6" spans="1:11" x14ac:dyDescent="0.3">
      <c r="A6" s="29" t="s">
        <v>15</v>
      </c>
      <c r="C6" s="29" t="s">
        <v>15</v>
      </c>
      <c r="E6" s="29" t="s">
        <v>15</v>
      </c>
      <c r="G6" s="29" t="s">
        <v>21</v>
      </c>
      <c r="H6" s="29" t="s">
        <v>22</v>
      </c>
      <c r="I6" s="29" t="s">
        <v>23</v>
      </c>
      <c r="J6" s="29" t="s">
        <v>24</v>
      </c>
      <c r="K6" s="29" t="s">
        <v>25</v>
      </c>
    </row>
    <row r="7" spans="1:11" x14ac:dyDescent="0.3">
      <c r="A7" s="33">
        <v>18000</v>
      </c>
      <c r="C7" s="33">
        <v>18000</v>
      </c>
      <c r="E7" s="33">
        <v>18000</v>
      </c>
      <c r="G7" s="28" t="s">
        <v>30</v>
      </c>
      <c r="H7" s="28">
        <v>755</v>
      </c>
      <c r="I7" s="28">
        <v>1015</v>
      </c>
      <c r="J7" s="28">
        <v>700</v>
      </c>
      <c r="K7" s="28">
        <f t="shared" ref="K7:K12" si="0">J7*(I7-H7)</f>
        <v>182000</v>
      </c>
    </row>
    <row r="8" spans="1:11" x14ac:dyDescent="0.3">
      <c r="A8" s="33">
        <v>19077</v>
      </c>
      <c r="C8" s="33">
        <v>19077</v>
      </c>
      <c r="E8" s="33">
        <v>19077</v>
      </c>
      <c r="G8" s="28" t="s">
        <v>36</v>
      </c>
      <c r="H8" s="28">
        <v>22</v>
      </c>
      <c r="I8" s="28">
        <v>29.1</v>
      </c>
      <c r="J8" s="28">
        <v>2200</v>
      </c>
      <c r="K8" s="28">
        <f t="shared" si="0"/>
        <v>15620.000000000004</v>
      </c>
    </row>
    <row r="9" spans="1:11" x14ac:dyDescent="0.3">
      <c r="A9" s="33">
        <v>10167</v>
      </c>
      <c r="C9" s="33">
        <v>10167</v>
      </c>
      <c r="E9" s="33">
        <v>10167</v>
      </c>
      <c r="G9" s="28" t="s">
        <v>42</v>
      </c>
      <c r="H9" s="28">
        <v>36</v>
      </c>
      <c r="I9" s="28">
        <v>32.4</v>
      </c>
      <c r="J9" s="28">
        <v>300</v>
      </c>
      <c r="K9" s="28">
        <f t="shared" si="0"/>
        <v>-1080.0000000000005</v>
      </c>
    </row>
    <row r="10" spans="1:11" x14ac:dyDescent="0.3">
      <c r="A10" s="33">
        <v>13248</v>
      </c>
      <c r="C10" s="33">
        <v>13248</v>
      </c>
      <c r="E10" s="33">
        <v>13248</v>
      </c>
      <c r="G10" s="28" t="s">
        <v>46</v>
      </c>
      <c r="H10" s="28">
        <v>36</v>
      </c>
      <c r="I10" s="28">
        <v>36</v>
      </c>
      <c r="J10" s="28">
        <v>4000</v>
      </c>
      <c r="K10" s="28">
        <f t="shared" si="0"/>
        <v>0</v>
      </c>
    </row>
    <row r="11" spans="1:11" x14ac:dyDescent="0.3">
      <c r="A11" s="33">
        <v>6360</v>
      </c>
      <c r="C11" s="33">
        <v>6360</v>
      </c>
      <c r="E11" s="33">
        <v>6360</v>
      </c>
      <c r="G11" s="28" t="s">
        <v>48</v>
      </c>
      <c r="H11" s="28">
        <v>51</v>
      </c>
      <c r="I11" s="28">
        <v>42</v>
      </c>
      <c r="J11" s="28">
        <v>700</v>
      </c>
      <c r="K11" s="28">
        <f t="shared" si="0"/>
        <v>-6300</v>
      </c>
    </row>
    <row r="12" spans="1:11" x14ac:dyDescent="0.3">
      <c r="A12" s="33">
        <v>11740</v>
      </c>
      <c r="C12" s="33">
        <v>11740</v>
      </c>
      <c r="E12" s="33">
        <v>11740</v>
      </c>
      <c r="G12" s="28" t="s">
        <v>50</v>
      </c>
      <c r="H12" s="28">
        <v>31</v>
      </c>
      <c r="I12" s="28">
        <v>17</v>
      </c>
      <c r="J12" s="28">
        <v>400</v>
      </c>
      <c r="K12" s="28">
        <f t="shared" si="0"/>
        <v>-5600</v>
      </c>
    </row>
    <row r="13" spans="1:11" x14ac:dyDescent="0.3">
      <c r="A13" s="33">
        <v>5325</v>
      </c>
      <c r="C13" s="33">
        <v>5325</v>
      </c>
      <c r="E13" s="33">
        <v>5325</v>
      </c>
    </row>
    <row r="14" spans="1:11" x14ac:dyDescent="0.3">
      <c r="A14" s="33">
        <v>7873</v>
      </c>
      <c r="C14" s="33">
        <v>7873</v>
      </c>
      <c r="E14" s="33">
        <v>7873</v>
      </c>
    </row>
    <row r="15" spans="1:11" x14ac:dyDescent="0.3">
      <c r="A15" s="33">
        <v>19043</v>
      </c>
      <c r="C15" s="33">
        <v>19043</v>
      </c>
      <c r="E15" s="33">
        <v>19043</v>
      </c>
    </row>
    <row r="16" spans="1:11" x14ac:dyDescent="0.3">
      <c r="A16" s="33">
        <v>12143</v>
      </c>
      <c r="C16" s="33">
        <v>12143</v>
      </c>
      <c r="E16" s="33">
        <v>12143</v>
      </c>
    </row>
    <row r="17" spans="1:5" x14ac:dyDescent="0.3">
      <c r="A17" s="33">
        <v>22300</v>
      </c>
      <c r="C17" s="33">
        <v>22300</v>
      </c>
      <c r="E17" s="33">
        <v>22300</v>
      </c>
    </row>
    <row r="18" spans="1:5" x14ac:dyDescent="0.3">
      <c r="A18" s="33">
        <v>10145</v>
      </c>
      <c r="C18" s="33">
        <v>10145</v>
      </c>
      <c r="E18" s="33">
        <v>10145</v>
      </c>
    </row>
    <row r="19" spans="1:5" x14ac:dyDescent="0.3">
      <c r="A19" s="33">
        <v>14309</v>
      </c>
      <c r="C19" s="33">
        <v>14309</v>
      </c>
      <c r="E19" s="33">
        <v>14309</v>
      </c>
    </row>
  </sheetData>
  <conditionalFormatting sqref="A7:A1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{41520EED-F67B-428B-8849-6879AE8B2364}</x14:id>
        </ext>
      </extLst>
    </cfRule>
  </conditionalFormatting>
  <conditionalFormatting sqref="C7:C19">
    <cfRule type="top10" dxfId="4" priority="3" percent="1" rank="25"/>
  </conditionalFormatting>
  <conditionalFormatting sqref="E7:E19">
    <cfRule type="cellIs" dxfId="3" priority="2" operator="greaterThan">
      <formula>$F$2</formula>
    </cfRule>
  </conditionalFormatting>
  <conditionalFormatting sqref="K7:K12">
    <cfRule type="cellIs" dxfId="0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520EED-F67B-428B-8849-6879AE8B23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5954-CD90-4D7E-9B7F-E020A7ADCFE2}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ColWidth="9.109375" defaultRowHeight="14.4" x14ac:dyDescent="0.3"/>
  <cols>
    <col min="1" max="1" width="11.5546875" customWidth="1"/>
    <col min="3" max="3" width="11.5546875" customWidth="1"/>
    <col min="5" max="5" width="11.5546875" customWidth="1"/>
    <col min="8" max="8" width="14.33203125" customWidth="1"/>
    <col min="9" max="9" width="14" customWidth="1"/>
  </cols>
  <sheetData>
    <row r="1" spans="1:11" x14ac:dyDescent="0.3">
      <c r="A1" s="3" t="s">
        <v>66</v>
      </c>
    </row>
    <row r="2" spans="1:11" x14ac:dyDescent="0.3">
      <c r="A2" s="3"/>
      <c r="E2" s="26" t="s">
        <v>2</v>
      </c>
      <c r="F2" s="27">
        <v>18000</v>
      </c>
    </row>
    <row r="4" spans="1:11" x14ac:dyDescent="0.3">
      <c r="A4" t="s">
        <v>4</v>
      </c>
      <c r="C4" t="s">
        <v>61</v>
      </c>
      <c r="E4" t="str">
        <f>"Greater than "&amp;FIXED(F2,0)</f>
        <v>Greater than 18,000</v>
      </c>
      <c r="H4" t="s">
        <v>5</v>
      </c>
    </row>
    <row r="6" spans="1:11" x14ac:dyDescent="0.3">
      <c r="A6" s="29" t="s">
        <v>15</v>
      </c>
      <c r="C6" s="29" t="s">
        <v>15</v>
      </c>
      <c r="E6" s="29" t="s">
        <v>15</v>
      </c>
      <c r="G6" s="29" t="s">
        <v>21</v>
      </c>
      <c r="H6" s="29" t="s">
        <v>22</v>
      </c>
      <c r="I6" s="29" t="s">
        <v>23</v>
      </c>
      <c r="J6" s="29" t="s">
        <v>24</v>
      </c>
      <c r="K6" s="29" t="s">
        <v>25</v>
      </c>
    </row>
    <row r="7" spans="1:11" x14ac:dyDescent="0.3">
      <c r="A7" s="33">
        <v>18000</v>
      </c>
      <c r="C7" s="33">
        <v>18000</v>
      </c>
      <c r="E7" s="33">
        <v>18000</v>
      </c>
      <c r="G7" s="28" t="s">
        <v>30</v>
      </c>
      <c r="H7" s="28">
        <v>755</v>
      </c>
      <c r="I7" s="28">
        <v>1015</v>
      </c>
      <c r="J7" s="28">
        <v>700</v>
      </c>
      <c r="K7" s="28">
        <f t="shared" ref="K7:K12" si="0">J7*(I7-H7)</f>
        <v>182000</v>
      </c>
    </row>
    <row r="8" spans="1:11" x14ac:dyDescent="0.3">
      <c r="A8" s="33">
        <v>19077</v>
      </c>
      <c r="C8" s="33">
        <v>19077</v>
      </c>
      <c r="E8" s="33">
        <v>19077</v>
      </c>
      <c r="G8" s="28" t="s">
        <v>36</v>
      </c>
      <c r="H8" s="28">
        <v>22</v>
      </c>
      <c r="I8" s="28">
        <v>29.1</v>
      </c>
      <c r="J8" s="28">
        <v>2200</v>
      </c>
      <c r="K8" s="28">
        <f t="shared" si="0"/>
        <v>15620.000000000004</v>
      </c>
    </row>
    <row r="9" spans="1:11" x14ac:dyDescent="0.3">
      <c r="A9" s="33">
        <v>10167</v>
      </c>
      <c r="C9" s="33">
        <v>10167</v>
      </c>
      <c r="E9" s="33">
        <v>10167</v>
      </c>
      <c r="G9" s="28" t="s">
        <v>42</v>
      </c>
      <c r="H9" s="28">
        <v>36</v>
      </c>
      <c r="I9" s="28">
        <v>32.4</v>
      </c>
      <c r="J9" s="28">
        <v>300</v>
      </c>
      <c r="K9" s="28">
        <f t="shared" si="0"/>
        <v>-1080.0000000000005</v>
      </c>
    </row>
    <row r="10" spans="1:11" x14ac:dyDescent="0.3">
      <c r="A10" s="33">
        <v>13248</v>
      </c>
      <c r="C10" s="33">
        <v>13248</v>
      </c>
      <c r="E10" s="33">
        <v>13248</v>
      </c>
      <c r="G10" s="28" t="s">
        <v>46</v>
      </c>
      <c r="H10" s="28">
        <v>36</v>
      </c>
      <c r="I10" s="28">
        <v>36</v>
      </c>
      <c r="J10" s="28">
        <v>4000</v>
      </c>
      <c r="K10" s="28">
        <f t="shared" si="0"/>
        <v>0</v>
      </c>
    </row>
    <row r="11" spans="1:11" x14ac:dyDescent="0.3">
      <c r="A11" s="33">
        <v>6360</v>
      </c>
      <c r="C11" s="33">
        <v>6360</v>
      </c>
      <c r="E11" s="33">
        <v>6360</v>
      </c>
      <c r="G11" s="28" t="s">
        <v>48</v>
      </c>
      <c r="H11" s="28">
        <v>51</v>
      </c>
      <c r="I11" s="28">
        <v>42</v>
      </c>
      <c r="J11" s="28">
        <v>700</v>
      </c>
      <c r="K11" s="28">
        <f t="shared" si="0"/>
        <v>-6300</v>
      </c>
    </row>
    <row r="12" spans="1:11" x14ac:dyDescent="0.3">
      <c r="A12" s="33">
        <v>11740</v>
      </c>
      <c r="C12" s="33">
        <v>11740</v>
      </c>
      <c r="E12" s="33">
        <v>11740</v>
      </c>
      <c r="G12" s="28" t="s">
        <v>50</v>
      </c>
      <c r="H12" s="28">
        <v>31</v>
      </c>
      <c r="I12" s="28">
        <v>17</v>
      </c>
      <c r="J12" s="28">
        <v>400</v>
      </c>
      <c r="K12" s="28">
        <f t="shared" si="0"/>
        <v>-5600</v>
      </c>
    </row>
    <row r="13" spans="1:11" x14ac:dyDescent="0.3">
      <c r="A13" s="33">
        <v>5325</v>
      </c>
      <c r="C13" s="33">
        <v>5325</v>
      </c>
      <c r="E13" s="33">
        <v>5325</v>
      </c>
    </row>
    <row r="14" spans="1:11" x14ac:dyDescent="0.3">
      <c r="A14" s="33">
        <v>7873</v>
      </c>
      <c r="C14" s="33">
        <v>7873</v>
      </c>
      <c r="E14" s="33">
        <v>7873</v>
      </c>
    </row>
    <row r="15" spans="1:11" x14ac:dyDescent="0.3">
      <c r="A15" s="33">
        <v>19043</v>
      </c>
      <c r="C15" s="33">
        <v>19043</v>
      </c>
      <c r="E15" s="33">
        <v>19043</v>
      </c>
    </row>
    <row r="16" spans="1:11" x14ac:dyDescent="0.3">
      <c r="A16" s="33">
        <v>12143</v>
      </c>
      <c r="C16" s="33">
        <v>12143</v>
      </c>
      <c r="E16" s="33">
        <v>12143</v>
      </c>
    </row>
    <row r="17" spans="1:5" x14ac:dyDescent="0.3">
      <c r="A17" s="33">
        <v>22300</v>
      </c>
      <c r="C17" s="33">
        <v>22300</v>
      </c>
      <c r="E17" s="33">
        <v>22300</v>
      </c>
    </row>
    <row r="18" spans="1:5" x14ac:dyDescent="0.3">
      <c r="A18" s="33">
        <v>10145</v>
      </c>
      <c r="C18" s="33">
        <v>10145</v>
      </c>
      <c r="E18" s="33">
        <v>10145</v>
      </c>
    </row>
    <row r="19" spans="1:5" x14ac:dyDescent="0.3">
      <c r="A19" s="33">
        <v>14309</v>
      </c>
      <c r="C19" s="33">
        <v>14309</v>
      </c>
      <c r="E19" s="33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{885FC862-D9BA-4393-84DE-0B82BEADAB82}</x14:id>
        </ext>
      </extLst>
    </cfRule>
  </conditionalFormatting>
  <conditionalFormatting sqref="C7:C19">
    <cfRule type="top10" dxfId="11" priority="3" percent="1" rank="25"/>
  </conditionalFormatting>
  <conditionalFormatting sqref="E7:E19">
    <cfRule type="cellIs" dxfId="10" priority="2" operator="greaterThan">
      <formula>$F$2</formula>
    </cfRule>
  </conditionalFormatting>
  <conditionalFormatting sqref="K7:K12">
    <cfRule type="cellIs" dxfId="9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5FC862-D9BA-4393-84DE-0B82BEADA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0254-4AED-431C-8260-CF13EF8A2687}">
  <sheetPr>
    <tabColor rgb="FF0000FF"/>
  </sheetPr>
  <dimension ref="A1:K10"/>
  <sheetViews>
    <sheetView zoomScale="190" zoomScaleNormal="190" workbookViewId="0"/>
  </sheetViews>
  <sheetFormatPr defaultRowHeight="14.4" x14ac:dyDescent="0.3"/>
  <sheetData>
    <row r="1" spans="1:11" x14ac:dyDescent="0.3">
      <c r="A1" s="54" t="s">
        <v>58</v>
      </c>
      <c r="B1" s="55"/>
      <c r="C1" s="55"/>
      <c r="D1" s="55"/>
      <c r="E1" s="55"/>
      <c r="F1" s="55"/>
      <c r="G1" s="55"/>
      <c r="H1" s="55"/>
      <c r="I1" s="55"/>
      <c r="J1" s="55"/>
      <c r="K1" s="56"/>
    </row>
    <row r="4" spans="1:11" x14ac:dyDescent="0.3">
      <c r="B4" t="s">
        <v>6</v>
      </c>
      <c r="C4" t="s">
        <v>7</v>
      </c>
      <c r="D4" t="s">
        <v>8</v>
      </c>
      <c r="E4" t="s">
        <v>9</v>
      </c>
    </row>
    <row r="5" spans="1:11" x14ac:dyDescent="0.3">
      <c r="A5" t="s">
        <v>26</v>
      </c>
      <c r="B5">
        <v>5689</v>
      </c>
      <c r="C5">
        <v>2569</v>
      </c>
      <c r="D5">
        <v>6587</v>
      </c>
      <c r="E5">
        <v>8700</v>
      </c>
    </row>
    <row r="6" spans="1:11" x14ac:dyDescent="0.3">
      <c r="A6" t="s">
        <v>31</v>
      </c>
      <c r="B6">
        <v>1801.15</v>
      </c>
      <c r="C6">
        <v>2099.15</v>
      </c>
      <c r="D6">
        <v>4100.3</v>
      </c>
      <c r="E6">
        <v>4245</v>
      </c>
    </row>
    <row r="7" spans="1:11" x14ac:dyDescent="0.3">
      <c r="A7" t="s">
        <v>37</v>
      </c>
      <c r="B7">
        <v>537.79999999999995</v>
      </c>
      <c r="C7">
        <v>513.80000000000007</v>
      </c>
      <c r="D7">
        <v>1617.4</v>
      </c>
      <c r="E7">
        <v>1740</v>
      </c>
    </row>
    <row r="8" spans="1:11" x14ac:dyDescent="0.3">
      <c r="A8" t="s">
        <v>43</v>
      </c>
      <c r="B8">
        <v>253.35</v>
      </c>
      <c r="C8">
        <v>385.34999999999997</v>
      </c>
      <c r="D8">
        <f>D5-D6-D7</f>
        <v>869.29999999999973</v>
      </c>
      <c r="E8">
        <v>1305</v>
      </c>
    </row>
    <row r="9" spans="1:11" x14ac:dyDescent="0.3">
      <c r="A9" t="s">
        <v>47</v>
      </c>
      <c r="B9">
        <f t="shared" ref="B9:E9" si="0">SUM(B6:B8)</f>
        <v>2592.2999999999997</v>
      </c>
      <c r="C9">
        <f t="shared" si="0"/>
        <v>2998.3</v>
      </c>
      <c r="D9">
        <f t="shared" si="0"/>
        <v>6587</v>
      </c>
      <c r="E9">
        <f t="shared" si="0"/>
        <v>7290</v>
      </c>
    </row>
    <row r="10" spans="1:11" x14ac:dyDescent="0.3">
      <c r="A10" t="s">
        <v>49</v>
      </c>
      <c r="B10">
        <f t="shared" ref="B10:E10" si="1">B5-B9</f>
        <v>3096.7000000000003</v>
      </c>
      <c r="C10">
        <f t="shared" si="1"/>
        <v>-429.30000000000018</v>
      </c>
      <c r="D10">
        <f t="shared" si="1"/>
        <v>0</v>
      </c>
      <c r="E10">
        <f t="shared" si="1"/>
        <v>1410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4806-039F-4DBE-B841-264385439A3D}">
  <sheetPr>
    <tabColor rgb="FFFF0000"/>
  </sheetPr>
  <dimension ref="A1:K11"/>
  <sheetViews>
    <sheetView zoomScale="220" zoomScaleNormal="220" workbookViewId="0"/>
  </sheetViews>
  <sheetFormatPr defaultRowHeight="14.4" x14ac:dyDescent="0.3"/>
  <cols>
    <col min="1" max="1" width="23.44140625" customWidth="1"/>
    <col min="2" max="5" width="11.109375" customWidth="1"/>
  </cols>
  <sheetData>
    <row r="1" spans="1:11" x14ac:dyDescent="0.3">
      <c r="A1" s="54" t="s">
        <v>58</v>
      </c>
      <c r="B1" s="55"/>
      <c r="C1" s="55"/>
      <c r="D1" s="55"/>
      <c r="E1" s="55"/>
      <c r="F1" s="55"/>
      <c r="G1" s="55"/>
      <c r="H1" s="55"/>
      <c r="I1" s="55"/>
      <c r="J1" s="55"/>
      <c r="K1" s="56"/>
    </row>
    <row r="4" spans="1:11" x14ac:dyDescent="0.3">
      <c r="B4" s="3" t="s">
        <v>6</v>
      </c>
      <c r="C4" s="3" t="s">
        <v>7</v>
      </c>
      <c r="D4" s="3" t="s">
        <v>8</v>
      </c>
      <c r="E4" s="3" t="s">
        <v>9</v>
      </c>
    </row>
    <row r="5" spans="1:11" x14ac:dyDescent="0.3">
      <c r="A5" s="3" t="s">
        <v>26</v>
      </c>
      <c r="B5" s="48">
        <v>5689</v>
      </c>
      <c r="C5" s="48">
        <v>2569</v>
      </c>
      <c r="D5" s="48">
        <v>6587</v>
      </c>
      <c r="E5" s="48">
        <v>8700</v>
      </c>
    </row>
    <row r="6" spans="1:11" x14ac:dyDescent="0.3">
      <c r="A6" s="3" t="s">
        <v>31</v>
      </c>
      <c r="B6" s="48">
        <v>1801.15</v>
      </c>
      <c r="C6" s="48">
        <v>2099.15</v>
      </c>
      <c r="D6" s="48">
        <v>4100.3</v>
      </c>
      <c r="E6" s="48">
        <v>4245</v>
      </c>
    </row>
    <row r="7" spans="1:11" x14ac:dyDescent="0.3">
      <c r="A7" s="3" t="s">
        <v>37</v>
      </c>
      <c r="B7" s="48">
        <v>537.79999999999995</v>
      </c>
      <c r="C7" s="48">
        <v>513.80000000000007</v>
      </c>
      <c r="D7" s="48">
        <v>1617.4</v>
      </c>
      <c r="E7" s="48">
        <v>1740</v>
      </c>
    </row>
    <row r="8" spans="1:11" ht="15" thickBot="1" x14ac:dyDescent="0.35">
      <c r="A8" s="3" t="s">
        <v>43</v>
      </c>
      <c r="B8" s="48">
        <v>253.35</v>
      </c>
      <c r="C8" s="48">
        <v>385.34999999999997</v>
      </c>
      <c r="D8" s="48">
        <f>D5-D6-D7</f>
        <v>869.29999999999973</v>
      </c>
      <c r="E8" s="48">
        <v>1305</v>
      </c>
    </row>
    <row r="9" spans="1:11" ht="15" thickBot="1" x14ac:dyDescent="0.35">
      <c r="A9" s="3" t="s">
        <v>47</v>
      </c>
      <c r="B9" s="51">
        <f t="shared" ref="B9:E9" si="0">SUM(B6:B8)</f>
        <v>2592.2999999999997</v>
      </c>
      <c r="C9" s="51">
        <f t="shared" si="0"/>
        <v>2998.3</v>
      </c>
      <c r="D9" s="51">
        <f t="shared" si="0"/>
        <v>6587</v>
      </c>
      <c r="E9" s="51">
        <f t="shared" si="0"/>
        <v>7290</v>
      </c>
    </row>
    <row r="10" spans="1:11" ht="15" thickBot="1" x14ac:dyDescent="0.35">
      <c r="A10" s="3" t="s">
        <v>49</v>
      </c>
      <c r="B10" s="52">
        <f t="shared" ref="B10:E10" si="1">B5-B9</f>
        <v>3096.7000000000003</v>
      </c>
      <c r="C10" s="52">
        <f t="shared" si="1"/>
        <v>-429.30000000000018</v>
      </c>
      <c r="D10" s="52">
        <f t="shared" si="1"/>
        <v>0</v>
      </c>
      <c r="E10" s="52">
        <f t="shared" si="1"/>
        <v>1410</v>
      </c>
    </row>
    <row r="11" spans="1:11" ht="15" thickTop="1" x14ac:dyDescent="0.3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674-5D3D-4298-97DA-5B8A798316E6}">
  <sheetPr>
    <tabColor rgb="FF0000FF"/>
  </sheetPr>
  <dimension ref="A1:J19"/>
  <sheetViews>
    <sheetView zoomScale="160" zoomScaleNormal="160" workbookViewId="0">
      <selection activeCell="A7" sqref="A7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4" t="s">
        <v>59</v>
      </c>
      <c r="B1" s="55"/>
      <c r="C1" s="55"/>
      <c r="D1" s="55"/>
      <c r="E1" s="55"/>
      <c r="F1" s="55"/>
      <c r="G1" s="55"/>
      <c r="H1" s="55"/>
      <c r="I1" s="55"/>
      <c r="J1" s="56"/>
    </row>
    <row r="6" spans="1:10" x14ac:dyDescent="0.3">
      <c r="A6" s="29" t="s">
        <v>15</v>
      </c>
    </row>
    <row r="7" spans="1:10" x14ac:dyDescent="0.3">
      <c r="A7" s="33">
        <v>118000</v>
      </c>
    </row>
    <row r="8" spans="1:10" x14ac:dyDescent="0.3">
      <c r="A8" s="33">
        <v>119077</v>
      </c>
    </row>
    <row r="9" spans="1:10" x14ac:dyDescent="0.3">
      <c r="A9" s="33">
        <v>110167</v>
      </c>
    </row>
    <row r="10" spans="1:10" x14ac:dyDescent="0.3">
      <c r="A10" s="33">
        <v>113248</v>
      </c>
    </row>
    <row r="11" spans="1:10" x14ac:dyDescent="0.3">
      <c r="A11" s="33">
        <v>106360</v>
      </c>
    </row>
    <row r="12" spans="1:10" x14ac:dyDescent="0.3">
      <c r="A12" s="33">
        <v>111740</v>
      </c>
    </row>
    <row r="13" spans="1:10" x14ac:dyDescent="0.3">
      <c r="A13" s="33">
        <v>105325</v>
      </c>
    </row>
    <row r="14" spans="1:10" x14ac:dyDescent="0.3">
      <c r="A14" s="33">
        <v>107873</v>
      </c>
    </row>
    <row r="15" spans="1:10" x14ac:dyDescent="0.3">
      <c r="A15" s="33">
        <v>119043</v>
      </c>
    </row>
    <row r="16" spans="1:10" x14ac:dyDescent="0.3">
      <c r="A16" s="33">
        <v>112143</v>
      </c>
    </row>
    <row r="17" spans="1:1" x14ac:dyDescent="0.3">
      <c r="A17" s="33">
        <v>122300</v>
      </c>
    </row>
    <row r="18" spans="1:1" x14ac:dyDescent="0.3">
      <c r="A18" s="33">
        <v>110145</v>
      </c>
    </row>
    <row r="19" spans="1:1" x14ac:dyDescent="0.3">
      <c r="A19" s="33">
        <v>114309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66D0-8A95-4F8D-BBA4-183708F21D30}">
  <sheetPr>
    <tabColor rgb="FFFF0000"/>
  </sheetPr>
  <dimension ref="A1:J19"/>
  <sheetViews>
    <sheetView zoomScale="160" zoomScaleNormal="160" workbookViewId="0">
      <selection activeCell="E13" sqref="E13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4" t="s">
        <v>59</v>
      </c>
      <c r="B1" s="55"/>
      <c r="C1" s="55"/>
      <c r="D1" s="55"/>
      <c r="E1" s="55"/>
      <c r="F1" s="55"/>
      <c r="G1" s="55"/>
      <c r="H1" s="55"/>
      <c r="I1" s="55"/>
      <c r="J1" s="56"/>
    </row>
    <row r="3" spans="1:10" x14ac:dyDescent="0.3">
      <c r="A3" s="26" t="s">
        <v>60</v>
      </c>
    </row>
    <row r="4" spans="1:10" x14ac:dyDescent="0.3">
      <c r="A4" s="57">
        <v>112500</v>
      </c>
    </row>
    <row r="6" spans="1:10" x14ac:dyDescent="0.3">
      <c r="A6" s="29" t="s">
        <v>15</v>
      </c>
    </row>
    <row r="7" spans="1:10" x14ac:dyDescent="0.3">
      <c r="A7" s="33">
        <v>118000</v>
      </c>
    </row>
    <row r="8" spans="1:10" x14ac:dyDescent="0.3">
      <c r="A8" s="33">
        <v>119077</v>
      </c>
    </row>
    <row r="9" spans="1:10" x14ac:dyDescent="0.3">
      <c r="A9" s="33">
        <v>110167</v>
      </c>
    </row>
    <row r="10" spans="1:10" x14ac:dyDescent="0.3">
      <c r="A10" s="33">
        <v>113248</v>
      </c>
    </row>
    <row r="11" spans="1:10" x14ac:dyDescent="0.3">
      <c r="A11" s="33">
        <v>106360</v>
      </c>
    </row>
    <row r="12" spans="1:10" x14ac:dyDescent="0.3">
      <c r="A12" s="33">
        <v>111740</v>
      </c>
    </row>
    <row r="13" spans="1:10" x14ac:dyDescent="0.3">
      <c r="A13" s="33">
        <v>105325</v>
      </c>
    </row>
    <row r="14" spans="1:10" x14ac:dyDescent="0.3">
      <c r="A14" s="33">
        <v>107873</v>
      </c>
    </row>
    <row r="15" spans="1:10" x14ac:dyDescent="0.3">
      <c r="A15" s="33">
        <v>119043</v>
      </c>
    </row>
    <row r="16" spans="1:10" x14ac:dyDescent="0.3">
      <c r="A16" s="33">
        <v>112143</v>
      </c>
    </row>
    <row r="17" spans="1:1" x14ac:dyDescent="0.3">
      <c r="A17" s="33">
        <v>122300</v>
      </c>
    </row>
    <row r="18" spans="1:1" x14ac:dyDescent="0.3">
      <c r="A18" s="33">
        <v>110145</v>
      </c>
    </row>
    <row r="19" spans="1:1" x14ac:dyDescent="0.3">
      <c r="A19" s="33">
        <v>114309</v>
      </c>
    </row>
  </sheetData>
  <conditionalFormatting sqref="A7:A19">
    <cfRule type="cellIs" dxfId="8" priority="1" operator="greaterThan">
      <formula>$A$4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2026-05-13T11:57:28Z</dcterms:modified>
</cp:coreProperties>
</file>