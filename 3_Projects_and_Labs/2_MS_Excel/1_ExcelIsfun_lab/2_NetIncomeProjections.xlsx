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run\Synk\Project LIFE\Rb_Excel_Lab\"/>
    </mc:Choice>
  </mc:AlternateContent>
  <xr:revisionPtr revIDLastSave="0" documentId="13_ncr:1_{4C6B2F3A-4953-4464-9631-088F8E283572}" xr6:coauthVersionLast="47" xr6:coauthVersionMax="47" xr10:uidLastSave="{00000000-0000-0000-0000-000000000000}"/>
  <bookViews>
    <workbookView xWindow="-108" yWindow="-108" windowWidth="23256" windowHeight="13176" xr2:uid="{475FB896-6FEC-41CC-9957-B83819B8FAEB}"/>
  </bookViews>
  <sheets>
    <sheet name="2026 Jan - May" sheetId="1" r:id="rId1"/>
  </sheets>
  <definedNames>
    <definedName name="_xlnm.Print_Area" localSheetId="0">'2026 Jan - May'!$A$1:$H$15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 l="1"/>
  <c r="B4" i="1" s="1"/>
  <c r="C2" i="1"/>
  <c r="D2" i="1" l="1"/>
  <c r="C3" i="1"/>
  <c r="C4" i="1" l="1"/>
  <c r="E2" i="1"/>
  <c r="D3" i="1"/>
  <c r="D4" i="1" l="1"/>
  <c r="F2" i="1"/>
  <c r="E3" i="1"/>
  <c r="E4" i="1" s="1"/>
  <c r="G2" i="1"/>
  <c r="F3" i="1" l="1"/>
  <c r="G3" i="1" s="1"/>
  <c r="F4" i="1" l="1"/>
  <c r="G4" i="1" s="1"/>
</calcChain>
</file>

<file path=xl/sharedStrings.xml><?xml version="1.0" encoding="utf-8"?>
<sst xmlns="http://schemas.openxmlformats.org/spreadsheetml/2006/main" count="14" uniqueCount="14">
  <si>
    <t>Revenue</t>
  </si>
  <si>
    <t>Expenses</t>
  </si>
  <si>
    <t>Net Income</t>
  </si>
  <si>
    <t>Assumtions (Formula Inputs)</t>
  </si>
  <si>
    <t>Start Revenue for Jan</t>
  </si>
  <si>
    <t>Revenue % Increase</t>
  </si>
  <si>
    <t>Expense as % of Revenue</t>
  </si>
  <si>
    <t>Jan</t>
  </si>
  <si>
    <t>Feb</t>
  </si>
  <si>
    <t>Mar</t>
  </si>
  <si>
    <t>Apr</t>
  </si>
  <si>
    <t>May</t>
  </si>
  <si>
    <t>Total</t>
  </si>
  <si>
    <t>2026 NI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</si>
</sst>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1" fillId="4" borderId="2" xfId="0" applyFont="1" applyFill="1" applyBorder="1" applyAlignment="1">
      <alignment horizontal="centerContinuous"/>
    </xf>
    <xf numFmtId="0" fontId="1" fillId="4" borderId="3" xfId="0" applyFont="1" applyFill="1" applyBorder="1" applyAlignment="1">
      <alignment horizontal="centerContinuous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'2026 Jan - May'!$A$1</c:f>
          <c:strCache>
            <c:ptCount val="1"/>
            <c:pt idx="0">
              <c:v>2026 NI Projections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Jan - May'!$B$1:$F$1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'2026 Jan - May'!$B$4:$F$4</c:f>
              <c:numCache>
                <c:formatCode>"$"#,##0</c:formatCode>
                <c:ptCount val="5"/>
                <c:pt idx="0">
                  <c:v>1087.5</c:v>
                </c:pt>
                <c:pt idx="1">
                  <c:v>1152.75</c:v>
                </c:pt>
                <c:pt idx="2">
                  <c:v>1221.915</c:v>
                </c:pt>
                <c:pt idx="3">
                  <c:v>1295.2299000000003</c:v>
                </c:pt>
                <c:pt idx="4">
                  <c:v>1372.9436940000005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6-4F0E-BF38-C23839AE76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1932399"/>
        <c:axId val="1731931439"/>
      </c:barChart>
      <c:catAx>
        <c:axId val="17319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31439"/>
        <c:crosses val="autoZero"/>
        <c:auto val="1"/>
        <c:lblAlgn val="ctr"/>
        <c:lblOffset val="100"/>
        <c:noMultiLvlLbl val="0"/>
      </c:catAx>
      <c:valAx>
        <c:axId val="1731931439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73193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5255</xdr:rowOff>
    </xdr:from>
    <xdr:to>
      <xdr:col>7</xdr:col>
      <xdr:colOff>485636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611AD-9FB2-6F23-C6CA-128A91053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EBAD-193D-4987-B0E6-2FD6804A2CEC}">
  <dimension ref="A1:G9"/>
  <sheetViews>
    <sheetView tabSelected="1" zoomScale="145" zoomScaleNormal="145" workbookViewId="0">
      <selection activeCell="I5" sqref="I5"/>
    </sheetView>
  </sheetViews>
  <sheetFormatPr defaultRowHeight="14.4" x14ac:dyDescent="0.3"/>
  <cols>
    <col min="1" max="1" width="21" customWidth="1"/>
    <col min="2" max="6" width="9.44140625" bestFit="1" customWidth="1"/>
    <col min="7" max="7" width="10.5546875" bestFit="1" customWidth="1"/>
  </cols>
  <sheetData>
    <row r="1" spans="1:7" x14ac:dyDescent="0.3">
      <c r="A1" s="3" t="s">
        <v>13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">
      <c r="A2" s="2" t="s">
        <v>0</v>
      </c>
      <c r="B2" s="6">
        <f>B7</f>
        <v>7250</v>
      </c>
      <c r="C2" s="6">
        <f>B2*$B$8</f>
        <v>7685</v>
      </c>
      <c r="D2" s="6">
        <f t="shared" ref="D2:F2" si="0">C2*$B$8</f>
        <v>8146.1</v>
      </c>
      <c r="E2" s="6">
        <f t="shared" si="0"/>
        <v>8634.866</v>
      </c>
      <c r="F2" s="6">
        <f t="shared" si="0"/>
        <v>9152.9579599999997</v>
      </c>
      <c r="G2" s="6">
        <f>SUM(B2:F2)</f>
        <v>40868.92396</v>
      </c>
    </row>
    <row r="3" spans="1:7" x14ac:dyDescent="0.3">
      <c r="A3" s="2" t="s">
        <v>1</v>
      </c>
      <c r="B3" s="6">
        <f>B2*$B$9</f>
        <v>6162.5</v>
      </c>
      <c r="C3" s="6">
        <f t="shared" ref="C3:F3" si="1">C2*$B$9</f>
        <v>6532.25</v>
      </c>
      <c r="D3" s="6">
        <f t="shared" si="1"/>
        <v>6924.1850000000004</v>
      </c>
      <c r="E3" s="6">
        <f t="shared" si="1"/>
        <v>7339.6360999999997</v>
      </c>
      <c r="F3" s="6">
        <f t="shared" si="1"/>
        <v>7780.0142659999992</v>
      </c>
      <c r="G3" s="6">
        <f>SUM(B3:F3)</f>
        <v>34738.585365999999</v>
      </c>
    </row>
    <row r="4" spans="1:7" x14ac:dyDescent="0.3">
      <c r="A4" s="2" t="s">
        <v>2</v>
      </c>
      <c r="B4" s="6">
        <f>B2-B3</f>
        <v>1087.5</v>
      </c>
      <c r="C4" s="6">
        <f>C2-C3</f>
        <v>1152.75</v>
      </c>
      <c r="D4" s="6">
        <f>D2-D3</f>
        <v>1221.915</v>
      </c>
      <c r="E4" s="6">
        <f>E2-E3</f>
        <v>1295.2299000000003</v>
      </c>
      <c r="F4" s="6">
        <f>F2-F3</f>
        <v>1372.9436940000005</v>
      </c>
      <c r="G4" s="6">
        <f>SUM(B4:F4)</f>
        <v>6130.3385940000007</v>
      </c>
    </row>
    <row r="6" spans="1:7" x14ac:dyDescent="0.3">
      <c r="A6" s="4" t="s">
        <v>3</v>
      </c>
      <c r="B6" s="5"/>
    </row>
    <row r="7" spans="1:7" x14ac:dyDescent="0.3">
      <c r="A7" s="1" t="s">
        <v>4</v>
      </c>
      <c r="B7" s="6">
        <v>7250</v>
      </c>
    </row>
    <row r="8" spans="1:7" x14ac:dyDescent="0.3">
      <c r="A8" s="1" t="s">
        <v>5</v>
      </c>
      <c r="B8" s="7">
        <v>1.06</v>
      </c>
    </row>
    <row r="9" spans="1:7" x14ac:dyDescent="0.3">
      <c r="A9" s="1" t="s">
        <v>6</v>
      </c>
      <c r="B9" s="7">
        <v>0.85</v>
      </c>
    </row>
  </sheetData>
  <phoneticPr fontId="2" type="noConversion"/>
  <printOptions horizontalCentered="1"/>
  <pageMargins left="0.7" right="0.7" top="0.75" bottom="0.75" header="0.3" footer="0.3"/>
  <pageSetup scale="125" orientation="landscape" r:id="rId1"/>
  <headerFooter>
    <oddFooter>&amp;C&amp;F - 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Jan - May</vt:lpstr>
      <vt:lpstr>'2026 Jan - May'!Print_Area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Ally</dc:creator>
  <cp:lastModifiedBy>Dark Ally</cp:lastModifiedBy>
  <cp:lastPrinted>2026-04-08T14:42:40Z</cp:lastPrinted>
  <dcterms:created xsi:type="dcterms:W3CDTF">2026-04-08T12:57:25Z</dcterms:created>
  <dcterms:modified xsi:type="dcterms:W3CDTF">2026-04-08T15:00:22Z</dcterms:modified>
</cp:coreProperties>
</file>